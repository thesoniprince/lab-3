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achal\Documents\Anudip_Batches\ANP-D6306-ACCENTURE-BATCH\excel-module\"/>
    </mc:Choice>
  </mc:AlternateContent>
  <xr:revisionPtr revIDLastSave="0" documentId="13_ncr:1_{B4C20423-217D-4206-9CD5-AC9A80814B4D}" xr6:coauthVersionLast="47" xr6:coauthVersionMax="47" xr10:uidLastSave="{00000000-0000-0000-0000-000000000000}"/>
  <bookViews>
    <workbookView xWindow="-110" yWindow="-110" windowWidth="19420" windowHeight="10300" firstSheet="5" activeTab="5" xr2:uid="{612DBBB4-9941-4589-A5CC-FC1CCD5F5134}"/>
  </bookViews>
  <sheets>
    <sheet name="Index" sheetId="6" r:id="rId1"/>
    <sheet name="Data Analysis_" sheetId="12" r:id="rId2"/>
    <sheet name="Data Analysis" sheetId="13" r:id="rId3"/>
    <sheet name="What Excel Does" sheetId="11" r:id="rId4"/>
    <sheet name="Excel file Formats" sheetId="2" r:id="rId5"/>
    <sheet name="Data &amp; Alignmnet (an)" sheetId="10" r:id="rId6"/>
    <sheet name="Keyboards" sheetId="7" r:id="rId7"/>
    <sheet name="Shortcuts" sheetId="3" r:id="rId8"/>
    <sheet name="Functions" sheetId="4" r:id="rId9"/>
    <sheet name="SUMIF-SUMIFS-FUNCTION" sheetId="5" r:id="rId10"/>
  </sheets>
  <externalReferences>
    <externalReference r:id="rId11"/>
    <externalReference r:id="rId12"/>
    <externalReference r:id="rId13"/>
    <externalReference r:id="rId14"/>
  </externalReferences>
  <definedNames>
    <definedName name="_xlnm._FilterDatabase" localSheetId="2" hidden="1">'Data Analysis'!$B$6:$D$170</definedName>
    <definedName name="Data">[1]Index_Match!$D$10:$I$87</definedName>
    <definedName name="date1">#REF!</definedName>
    <definedName name="date2">#REF!</definedName>
    <definedName name="date3">#REF!</definedName>
    <definedName name="DeliveryCharges">5%</definedName>
    <definedName name="DynamicProductList">OFFSET('[2]Named Range'!$E$2,0,0,COUNTA('[2]Named Range'!$E$2:$E$100),1)</definedName>
    <definedName name="Heading">[1]Index_Match!$D$10:$I$10</definedName>
    <definedName name="Nputs">[3]Hedging!$B$2</definedName>
    <definedName name="Nshares">[3]Hedging!$B$3</definedName>
    <definedName name="pricenow">[3]Hedging!$B$5</definedName>
    <definedName name="Product_List">'[2]Named Range'!$C$1:$C$10</definedName>
    <definedName name="putcost">[3]Hedging!$B$6</definedName>
    <definedName name="Roll_no">[1]Index_Match!$G$10:$G$87</definedName>
    <definedName name="Student_marks">[4]Vlookup!$B$7:$G$79</definedName>
    <definedName name="SUM">Keyboards!$D$36</definedName>
  </definedNames>
  <calcPr calcId="191029"/>
  <pivotCaches>
    <pivotCache cacheId="0" r:id="rId15"/>
    <pivotCache cacheId="1" r:id="rId16"/>
    <pivotCache cacheId="2" r:id="rId17"/>
    <pivotCache cacheId="3" r:id="rId18"/>
    <pivotCache cacheId="4"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1" i="4" l="1"/>
  <c r="B9" i="4"/>
  <c r="G4" i="11" l="1"/>
  <c r="C39" i="10"/>
  <c r="G36" i="10"/>
  <c r="G35" i="10"/>
  <c r="G30" i="10"/>
  <c r="G31" i="10" s="1"/>
  <c r="G32" i="10" s="1"/>
  <c r="G33" i="10" s="1"/>
  <c r="G34" i="10" s="1"/>
  <c r="G19" i="10"/>
  <c r="C19" i="10"/>
  <c r="C41" i="4" l="1"/>
  <c r="I7" i="5"/>
  <c r="H20" i="4"/>
  <c r="K65" i="3" l="1"/>
  <c r="L65" i="3" s="1"/>
  <c r="K64" i="3"/>
  <c r="L64" i="3" s="1"/>
  <c r="K63" i="3"/>
  <c r="L63" i="3" s="1"/>
  <c r="K62" i="3"/>
  <c r="L62" i="3" s="1"/>
  <c r="K61" i="3"/>
  <c r="L61" i="3" s="1"/>
  <c r="K60" i="3"/>
  <c r="L60" i="3" s="1"/>
  <c r="K59" i="3"/>
  <c r="L59" i="3" s="1"/>
  <c r="K58" i="3"/>
  <c r="L58" i="3" s="1"/>
  <c r="K57" i="3"/>
  <c r="L57" i="3" s="1"/>
  <c r="K56" i="3"/>
  <c r="L56" i="3" s="1"/>
  <c r="K55" i="3"/>
  <c r="L55" i="3" s="1"/>
  <c r="K54" i="3"/>
  <c r="L54" i="3" s="1"/>
  <c r="K53" i="3"/>
  <c r="L53" i="3" s="1"/>
  <c r="K52" i="3"/>
  <c r="L52" i="3" s="1"/>
  <c r="K51" i="3"/>
  <c r="L51" i="3" s="1"/>
  <c r="K50" i="3"/>
  <c r="L50" i="3" s="1"/>
  <c r="K49" i="3"/>
  <c r="L49" i="3" s="1"/>
  <c r="K48" i="3"/>
  <c r="L48" i="3" s="1"/>
  <c r="K47" i="3"/>
  <c r="L47" i="3" s="1"/>
  <c r="K46" i="3"/>
  <c r="L46" i="3" s="1"/>
  <c r="K45" i="3"/>
  <c r="L45" i="3" s="1"/>
  <c r="K44" i="3"/>
  <c r="L44" i="3" s="1"/>
  <c r="K43" i="3"/>
  <c r="L43" i="3" s="1"/>
  <c r="K42" i="3"/>
  <c r="L42" i="3" s="1"/>
  <c r="K41" i="3"/>
  <c r="L41" i="3" s="1"/>
  <c r="K40" i="3"/>
  <c r="L40"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Karthik Dale</author>
    <author>Umakanth K</author>
  </authors>
  <commentList>
    <comment ref="K8" authorId="0" shapeId="0" xr:uid="{09252122-586B-47D6-89CA-13418F9A6658}">
      <text>
        <r>
          <rPr>
            <b/>
            <sz val="9"/>
            <rFont val="Tahoma"/>
            <family val="2"/>
          </rPr>
          <t>Karthik Dale:</t>
        </r>
        <r>
          <rPr>
            <sz val="9"/>
            <rFont val="Tahoma"/>
            <family val="2"/>
          </rPr>
          <t xml:space="preserve">
</t>
        </r>
      </text>
    </comment>
    <comment ref="K19" authorId="0" shapeId="0" xr:uid="{1B4300DD-8C25-4E40-B2AB-CB7ABE9FC65A}">
      <text>
        <r>
          <rPr>
            <b/>
            <sz val="9"/>
            <rFont val="Tahoma"/>
            <family val="2"/>
          </rPr>
          <t>Karthik Dale:</t>
        </r>
        <r>
          <rPr>
            <sz val="9"/>
            <rFont val="Tahoma"/>
            <family val="2"/>
          </rPr>
          <t xml:space="preserve">
</t>
        </r>
      </text>
    </comment>
    <comment ref="B56" authorId="1" shapeId="0" xr:uid="{050E9528-6975-4636-8AC3-01AE64164769}">
      <text>
        <r>
          <rPr>
            <b/>
            <sz val="9"/>
            <rFont val="Tahoma"/>
            <family val="2"/>
          </rPr>
          <t>Umakanth K:</t>
        </r>
        <r>
          <rPr>
            <sz val="9"/>
            <rFont val="Tahoma"/>
            <family val="2"/>
          </rPr>
          <t xml:space="preserve">
Press Ctrl + A twice after selecting a range to select the entire worksheet</t>
        </r>
      </text>
    </comment>
  </commentList>
</comments>
</file>

<file path=xl/sharedStrings.xml><?xml version="1.0" encoding="utf-8"?>
<sst xmlns="http://schemas.openxmlformats.org/spreadsheetml/2006/main" count="2339" uniqueCount="750">
  <si>
    <t>FILE SHORTCUTS</t>
  </si>
  <si>
    <t>Description</t>
  </si>
  <si>
    <t>Shortcut Key</t>
  </si>
  <si>
    <t>Pro Tip on ShortCuts</t>
  </si>
  <si>
    <t>Create New Workbook</t>
  </si>
  <si>
    <t>Ctrl + N</t>
  </si>
  <si>
    <t>Open workbook</t>
  </si>
  <si>
    <t>Ctrl + O</t>
  </si>
  <si>
    <t>Ctrl ShortCuts</t>
  </si>
  <si>
    <t>Ctrl +Shift ShortCuts</t>
  </si>
  <si>
    <t>Virat Kohli</t>
  </si>
  <si>
    <t>Save workbook</t>
  </si>
  <si>
    <t>Ctrl + S</t>
  </si>
  <si>
    <t>Save as</t>
  </si>
  <si>
    <t>F12</t>
  </si>
  <si>
    <t>Pivot Table</t>
  </si>
  <si>
    <t>Emp Name</t>
  </si>
  <si>
    <t>Role</t>
  </si>
  <si>
    <t>Basic Salary</t>
  </si>
  <si>
    <t>Dept</t>
  </si>
  <si>
    <t>Print file</t>
  </si>
  <si>
    <t>Ctrl + P</t>
  </si>
  <si>
    <t>Vegan</t>
  </si>
  <si>
    <t>Rajesh Nair</t>
  </si>
  <si>
    <t>Manager</t>
  </si>
  <si>
    <t>Dept1</t>
  </si>
  <si>
    <t>Open print preview window</t>
  </si>
  <si>
    <t>Ctrl + F2</t>
  </si>
  <si>
    <t>hello all, how are you doing?</t>
  </si>
  <si>
    <t>Close current window</t>
  </si>
  <si>
    <t>Ctrl + W</t>
  </si>
  <si>
    <t>Rajesh Chigurupati</t>
  </si>
  <si>
    <t>CEO</t>
  </si>
  <si>
    <t>Close Excel</t>
  </si>
  <si>
    <t>Alt + F4</t>
  </si>
  <si>
    <t>Girish Kumar</t>
  </si>
  <si>
    <t>Lead</t>
  </si>
  <si>
    <t>Pranathi Adem</t>
  </si>
  <si>
    <t>DB</t>
  </si>
  <si>
    <t>RIBBON</t>
  </si>
  <si>
    <t>Kaushik Kumar</t>
  </si>
  <si>
    <t>Tester</t>
  </si>
  <si>
    <t>Manish Tadepalli</t>
  </si>
  <si>
    <t>Expand or collapse ribbon</t>
  </si>
  <si>
    <t>Ctrl + F1</t>
  </si>
  <si>
    <t>Swamy Vennuthula</t>
  </si>
  <si>
    <t>Activate shortcut key tips</t>
  </si>
  <si>
    <t>Alt</t>
  </si>
  <si>
    <t>Move to next ribbon control</t>
  </si>
  <si>
    <t>Tab</t>
  </si>
  <si>
    <t>Change the Background color, text color, font name &amp; Size</t>
  </si>
  <si>
    <t>Move to previous button</t>
  </si>
  <si>
    <t>Shift + Tab</t>
  </si>
  <si>
    <t>Accept and Confirm</t>
  </si>
  <si>
    <t>Enter</t>
  </si>
  <si>
    <t>A</t>
  </si>
  <si>
    <t>Help for button upon mouse over</t>
  </si>
  <si>
    <t>F1</t>
  </si>
  <si>
    <t>B</t>
  </si>
  <si>
    <t>AAABBB</t>
  </si>
  <si>
    <t>C</t>
  </si>
  <si>
    <t>ACTIVE CELL</t>
  </si>
  <si>
    <t>D</t>
  </si>
  <si>
    <t>E</t>
  </si>
  <si>
    <t>Select active cell only</t>
  </si>
  <si>
    <t>Shift + Backspace</t>
  </si>
  <si>
    <t>F</t>
  </si>
  <si>
    <t>Show active cell on worksheet</t>
  </si>
  <si>
    <t>Ctrl + Backspace</t>
  </si>
  <si>
    <t>G</t>
  </si>
  <si>
    <t>Move active cell clockwise in selection</t>
  </si>
  <si>
    <t>Ctrl + .</t>
  </si>
  <si>
    <t>H</t>
  </si>
  <si>
    <t>Move active cell down in selection</t>
  </si>
  <si>
    <t>I</t>
  </si>
  <si>
    <t>Move active cell up in selection</t>
  </si>
  <si>
    <t>Shift + Enter</t>
  </si>
  <si>
    <t>J</t>
  </si>
  <si>
    <t>Move active cell right in a selection</t>
  </si>
  <si>
    <t>K</t>
  </si>
  <si>
    <t>Move active cell left in a selection</t>
  </si>
  <si>
    <t>L</t>
  </si>
  <si>
    <t>M</t>
  </si>
  <si>
    <t>GENERAL</t>
  </si>
  <si>
    <t>N</t>
  </si>
  <si>
    <t>O</t>
  </si>
  <si>
    <t>Open help</t>
  </si>
  <si>
    <t>P</t>
  </si>
  <si>
    <t>Undo last action</t>
  </si>
  <si>
    <t>Ctrl + Z</t>
  </si>
  <si>
    <t>Q</t>
  </si>
  <si>
    <t>Redo last action</t>
  </si>
  <si>
    <t>Ctrl + Y</t>
  </si>
  <si>
    <t>R</t>
  </si>
  <si>
    <t>Copy selected cells</t>
  </si>
  <si>
    <t>Ctrl + C</t>
  </si>
  <si>
    <t>S</t>
  </si>
  <si>
    <t>Repeat last action</t>
  </si>
  <si>
    <t>F4</t>
  </si>
  <si>
    <t>T</t>
  </si>
  <si>
    <t>Cut selected cells</t>
  </si>
  <si>
    <t>Ctrl + X</t>
  </si>
  <si>
    <t>U</t>
  </si>
  <si>
    <t>Paste content from clipboard</t>
  </si>
  <si>
    <t>Ctrl + V</t>
  </si>
  <si>
    <t>Alphabet - Calibri</t>
  </si>
  <si>
    <t>Alphabet - Wingdings</t>
  </si>
  <si>
    <t>V</t>
  </si>
  <si>
    <t>Display Paste Special</t>
  </si>
  <si>
    <t>Alt + E + S</t>
  </si>
  <si>
    <t>W</t>
  </si>
  <si>
    <t>Display Find and Replace</t>
  </si>
  <si>
    <t>Ctrl + F</t>
  </si>
  <si>
    <t>X</t>
  </si>
  <si>
    <t>Find with replace selected</t>
  </si>
  <si>
    <t>Ctrl + H</t>
  </si>
  <si>
    <t>Y</t>
  </si>
  <si>
    <t>Create embedded chart</t>
  </si>
  <si>
    <t>Alt + F1</t>
  </si>
  <si>
    <t>Z</t>
  </si>
  <si>
    <t>Create chart in new worksheet</t>
  </si>
  <si>
    <t>F11</t>
  </si>
  <si>
    <t>Toggle Auto filter</t>
  </si>
  <si>
    <t>Ctrl + Shift + L</t>
  </si>
  <si>
    <t>Activate Filter Dropdown</t>
  </si>
  <si>
    <t>Alt + ↓</t>
  </si>
  <si>
    <t>Insert Table</t>
  </si>
  <si>
    <t>Ctrl + T, Ctrl + L</t>
  </si>
  <si>
    <t>Select Table Row</t>
  </si>
  <si>
    <t>Shift + Space</t>
  </si>
  <si>
    <t>Select Table Column</t>
  </si>
  <si>
    <t>Ctrl + Space</t>
  </si>
  <si>
    <t>Select Table</t>
  </si>
  <si>
    <t>Ctrl + A</t>
  </si>
  <si>
    <t>SELECTION</t>
  </si>
  <si>
    <t>Shorcut Key</t>
  </si>
  <si>
    <t>Select entire row</t>
  </si>
  <si>
    <t>Shift + Spacebar</t>
  </si>
  <si>
    <t>Select entire column</t>
  </si>
  <si>
    <t>Select entire worksheet</t>
  </si>
  <si>
    <t>Add adjacent cells to selection</t>
  </si>
  <si>
    <t>Shift + Right Arrow/Click</t>
  </si>
  <si>
    <t>Add non-adjacent cells to selection</t>
  </si>
  <si>
    <t>Ctrl + Right /Click</t>
  </si>
  <si>
    <t>Cancel selection</t>
  </si>
  <si>
    <t>Esc</t>
  </si>
  <si>
    <t>NAVIGATION</t>
  </si>
  <si>
    <t>Move one cell right</t>
  </si>
  <si>
    <t>Right Arrow Key</t>
  </si>
  <si>
    <t>Move one cell left</t>
  </si>
  <si>
    <t>Left Arrow Key</t>
  </si>
  <si>
    <t>Move one cell up</t>
  </si>
  <si>
    <t>Up Arrow Key</t>
  </si>
  <si>
    <t>Move one cell down</t>
  </si>
  <si>
    <t>Down Arrow Key</t>
  </si>
  <si>
    <t>Move one screen right</t>
  </si>
  <si>
    <t>Alt + PgDn</t>
  </si>
  <si>
    <t>Move one screen left</t>
  </si>
  <si>
    <t>Alt + PgUp</t>
  </si>
  <si>
    <t>Move one screen up</t>
  </si>
  <si>
    <t>PgUp</t>
  </si>
  <si>
    <t>Move one screen down</t>
  </si>
  <si>
    <t>PgDn</t>
  </si>
  <si>
    <t>Move to right edge of data region</t>
  </si>
  <si>
    <t>Ctrl + →</t>
  </si>
  <si>
    <t>Move to left edge of data region</t>
  </si>
  <si>
    <t>Ctrl + ←</t>
  </si>
  <si>
    <t>Move to top edge of data region</t>
  </si>
  <si>
    <t>Ctrl + ↑</t>
  </si>
  <si>
    <t>Move to bottom edge of data region</t>
  </si>
  <si>
    <t>Ctrl + ↓</t>
  </si>
  <si>
    <t>Move to beginning of row</t>
  </si>
  <si>
    <t>Home</t>
  </si>
  <si>
    <t>Turn End mode on</t>
  </si>
  <si>
    <t>End</t>
  </si>
  <si>
    <t>Move to last cell in worksheet</t>
  </si>
  <si>
    <t>Ctrl + End</t>
  </si>
  <si>
    <t>Move to first cell in worksheet</t>
  </si>
  <si>
    <t>Ctrl + Home</t>
  </si>
  <si>
    <t>NUMBER FORMATTING</t>
  </si>
  <si>
    <t>Apply General Format</t>
  </si>
  <si>
    <t>Ctrl + Shift + ~</t>
  </si>
  <si>
    <t>Apply Number Format</t>
  </si>
  <si>
    <t>Ctrl + Shift + !</t>
  </si>
  <si>
    <t>Apply Time Format</t>
  </si>
  <si>
    <t>Ctrl + Shift + @</t>
  </si>
  <si>
    <t>Apply Date Format</t>
  </si>
  <si>
    <t>Ctrl + Shift + #</t>
  </si>
  <si>
    <t>Apply Currency Format</t>
  </si>
  <si>
    <t>Ctrl + Shift + $</t>
  </si>
  <si>
    <t>Apply Percentage Format</t>
  </si>
  <si>
    <t>Ctrl + Shift + %</t>
  </si>
  <si>
    <t>Apply Scientific Format</t>
  </si>
  <si>
    <t>Ctrl + Shift + ^</t>
  </si>
  <si>
    <t>EXTEND SELECTION</t>
  </si>
  <si>
    <t>Extend selection by one cell right</t>
  </si>
  <si>
    <t>Shift + →</t>
  </si>
  <si>
    <t>Extend selection by one cell left</t>
  </si>
  <si>
    <t>Shift + ←</t>
  </si>
  <si>
    <t>Extend selection by one cell up</t>
  </si>
  <si>
    <t>Shift + ↑</t>
  </si>
  <si>
    <t>Extend selection by one cell down</t>
  </si>
  <si>
    <t>Shift + ↓</t>
  </si>
  <si>
    <t>Extend last cell right</t>
  </si>
  <si>
    <t>Ctrl + Shift + →</t>
  </si>
  <si>
    <t>Extend last cell left</t>
  </si>
  <si>
    <t>Ctrl + Shift + ←</t>
  </si>
  <si>
    <t>Extend last cell up</t>
  </si>
  <si>
    <t>Ctrl + Shift + ↑</t>
  </si>
  <si>
    <t>Extend last cell down</t>
  </si>
  <si>
    <t>Ctrl + Shift + ↓</t>
  </si>
  <si>
    <t>Extend selection up one screen</t>
  </si>
  <si>
    <t>Shift + PgUp</t>
  </si>
  <si>
    <t>Extend selection down one screen</t>
  </si>
  <si>
    <t>Shift + PgDn</t>
  </si>
  <si>
    <t>Extend selection right one screen</t>
  </si>
  <si>
    <t>Alt + Shift + PgDn</t>
  </si>
  <si>
    <t>Extend selection left one screen</t>
  </si>
  <si>
    <t>Alt + Shift + PgUp</t>
  </si>
  <si>
    <t>Extend selection to start of row</t>
  </si>
  <si>
    <t>Shift + Home</t>
  </si>
  <si>
    <t>Extend first cell</t>
  </si>
  <si>
    <t>Ctrl + Shift + Home</t>
  </si>
  <si>
    <t>Extend last worksheet cell</t>
  </si>
  <si>
    <t>Ctrl + Shift + End</t>
  </si>
  <si>
    <t>Toggle Extend Selection Mode</t>
  </si>
  <si>
    <t>F8</t>
  </si>
  <si>
    <t>SELECT SPECIAL</t>
  </si>
  <si>
    <t>Display ‘Go To’ dialog box</t>
  </si>
  <si>
    <t>Ctrl + G</t>
  </si>
  <si>
    <t>Select row difference</t>
  </si>
  <si>
    <t>Ctrl + \</t>
  </si>
  <si>
    <t>Select column difference</t>
  </si>
  <si>
    <t>Ctrl + Shift + |</t>
  </si>
  <si>
    <t>Select cells with comments</t>
  </si>
  <si>
    <t>Ctrl + Shift + O</t>
  </si>
  <si>
    <t>Select current region</t>
  </si>
  <si>
    <t>Select current array</t>
  </si>
  <si>
    <t>Ctrl + /</t>
  </si>
  <si>
    <t>Select direct precedents</t>
  </si>
  <si>
    <t>Ctrl + [</t>
  </si>
  <si>
    <t>Select all precedents</t>
  </si>
  <si>
    <t>Ctrl + Shift + [</t>
  </si>
  <si>
    <t>Select direct dependents</t>
  </si>
  <si>
    <t>Ctrl + ]</t>
  </si>
  <si>
    <t>Select all dependents</t>
  </si>
  <si>
    <t>Ctrl + Shift + ]</t>
  </si>
  <si>
    <t>Select visible cells only</t>
  </si>
  <si>
    <t>Alt + ;</t>
  </si>
  <si>
    <t>CELL EDIT MODE</t>
  </si>
  <si>
    <t>Edit the active cell</t>
  </si>
  <si>
    <t>F2</t>
  </si>
  <si>
    <t xml:space="preserve">Insert or edit comment </t>
  </si>
  <si>
    <t>Shift + F2</t>
  </si>
  <si>
    <t>Cancel entry</t>
  </si>
  <si>
    <t>Select one character right Shift</t>
  </si>
  <si>
    <t>Select one character left Shift</t>
  </si>
  <si>
    <t>Move one word right</t>
  </si>
  <si>
    <t>Move one word left</t>
  </si>
  <si>
    <t>Select one word right</t>
  </si>
  <si>
    <t>Select one word left</t>
  </si>
  <si>
    <t>Select to the beginning of the cell</t>
  </si>
  <si>
    <t>Select to end of cell</t>
  </si>
  <si>
    <t>Shift + End</t>
  </si>
  <si>
    <t>Delete character to the left of cursor</t>
  </si>
  <si>
    <t>Backspace</t>
  </si>
  <si>
    <t>Delete character right</t>
  </si>
  <si>
    <t>Delete</t>
  </si>
  <si>
    <t>New Line in Cell</t>
  </si>
  <si>
    <t>Alt + Enter</t>
  </si>
  <si>
    <t>ENTERING DATA</t>
  </si>
  <si>
    <t>Enter and move down</t>
  </si>
  <si>
    <t xml:space="preserve">Enter and move up </t>
  </si>
  <si>
    <t>Enter and move right</t>
  </si>
  <si>
    <t>Enter and move left</t>
  </si>
  <si>
    <t>Enter same data in multiple cells</t>
  </si>
  <si>
    <t>Ctrl + Enter</t>
  </si>
  <si>
    <t>Insert current date</t>
  </si>
  <si>
    <t>Ctrl + ;</t>
  </si>
  <si>
    <t>Insert current time</t>
  </si>
  <si>
    <t>Ctrl + Shift + :</t>
  </si>
  <si>
    <t>Fill down from cell above</t>
  </si>
  <si>
    <t>Ctrl + D</t>
  </si>
  <si>
    <t>Fill right from cell left</t>
  </si>
  <si>
    <t>Ctrl + R</t>
  </si>
  <si>
    <t>Copy formula from cell above</t>
  </si>
  <si>
    <t>Ctrl + '</t>
  </si>
  <si>
    <t>Copy value from cell above</t>
  </si>
  <si>
    <t>Ctrl + Shift + "</t>
  </si>
  <si>
    <t>Add hyperlink</t>
  </si>
  <si>
    <t>Ctrl + K</t>
  </si>
  <si>
    <t>Display Auto Complete list</t>
  </si>
  <si>
    <t>Flash fill Ctrl</t>
  </si>
  <si>
    <t>Ctrl + E</t>
  </si>
  <si>
    <t>FORMATTING</t>
  </si>
  <si>
    <t>Format (almost) anything</t>
  </si>
  <si>
    <t>Ctrl + 1</t>
  </si>
  <si>
    <t>Display Format cells font tab</t>
  </si>
  <si>
    <t>Ctrl + Shift + F</t>
  </si>
  <si>
    <t>Apply or remove bold formatting</t>
  </si>
  <si>
    <t>Ctrl + B</t>
  </si>
  <si>
    <t>Apply or remove italic formatting</t>
  </si>
  <si>
    <t>Ctrl + I</t>
  </si>
  <si>
    <t>Apply or remove underscoring</t>
  </si>
  <si>
    <t>Ctrl + U</t>
  </si>
  <si>
    <t>Toggle strikethrough formatting</t>
  </si>
  <si>
    <t>Ctrl + 5</t>
  </si>
  <si>
    <t>Align center</t>
  </si>
  <si>
    <t>Alt + H + A + C</t>
  </si>
  <si>
    <t>Align left</t>
  </si>
  <si>
    <t>Alt + H + A + L</t>
  </si>
  <si>
    <t>Align Right</t>
  </si>
  <si>
    <t>Alt + H + A + R</t>
  </si>
  <si>
    <t>Indent</t>
  </si>
  <si>
    <t>Alt + H + 6</t>
  </si>
  <si>
    <t>Remove indent</t>
  </si>
  <si>
    <t>Alt + H + 5</t>
  </si>
  <si>
    <t>Increase font size one step Alt</t>
  </si>
  <si>
    <t>Alt + H + F + G</t>
  </si>
  <si>
    <t>Decrease font size one step</t>
  </si>
  <si>
    <t>Alt + H + F + K</t>
  </si>
  <si>
    <t>BORDERS</t>
  </si>
  <si>
    <t>Add border outline</t>
  </si>
  <si>
    <t>Ctrl + Shift + &amp;</t>
  </si>
  <si>
    <t>Add or remove border right</t>
  </si>
  <si>
    <t>Alt + R</t>
  </si>
  <si>
    <t>Add or remove border left</t>
  </si>
  <si>
    <t>Alt + L</t>
  </si>
  <si>
    <t>Add or remove border top</t>
  </si>
  <si>
    <t>Alt + T</t>
  </si>
  <si>
    <t>Add or remove border bottom</t>
  </si>
  <si>
    <t>Alt + B</t>
  </si>
  <si>
    <t>Add or remove border upward diagonal</t>
  </si>
  <si>
    <t>Alt + D</t>
  </si>
  <si>
    <t>Add or remove border horizontal interior</t>
  </si>
  <si>
    <t>Alt + V</t>
  </si>
  <si>
    <t>Remove borders</t>
  </si>
  <si>
    <t>Ctrl + Shift + _</t>
  </si>
  <si>
    <t>DIALOG BOXES</t>
  </si>
  <si>
    <t>Move to next control</t>
  </si>
  <si>
    <t>Cancel and close the dialog box</t>
  </si>
  <si>
    <t>Toggle between open books</t>
  </si>
  <si>
    <t>Ctrl Tab</t>
  </si>
  <si>
    <t>Move to previous tab</t>
  </si>
  <si>
    <t>Ctrl Shift Tab</t>
  </si>
  <si>
    <t>Accept and apply Enter Return</t>
  </si>
  <si>
    <t xml:space="preserve">Check and uncheck box </t>
  </si>
  <si>
    <t>Space</t>
  </si>
  <si>
    <t>FORMULAS</t>
  </si>
  <si>
    <t>Toggle absolute &amp; relative references</t>
  </si>
  <si>
    <t>Open Insert function dialog</t>
  </si>
  <si>
    <t>Shift + F3</t>
  </si>
  <si>
    <t>Autosum selected cells</t>
  </si>
  <si>
    <t>Alt + =</t>
  </si>
  <si>
    <t>Toggle formulas on and off</t>
  </si>
  <si>
    <t>Ctrl + `</t>
  </si>
  <si>
    <t>Enter array formula</t>
  </si>
  <si>
    <t>Ctrl + Shift + Enter</t>
  </si>
  <si>
    <t>Calculate worksheets</t>
  </si>
  <si>
    <t>F9</t>
  </si>
  <si>
    <t>Calculate active worksheet</t>
  </si>
  <si>
    <t>Shift + F9</t>
  </si>
  <si>
    <t>Force calculate all worksheets</t>
  </si>
  <si>
    <t>Ctrl + Alt + F9</t>
  </si>
  <si>
    <t>Evaluate part of a formula</t>
  </si>
  <si>
    <t>Expand/collapse formula bar</t>
  </si>
  <si>
    <t>Ctrl + Shift + U</t>
  </si>
  <si>
    <t>Display function arguments dialog box</t>
  </si>
  <si>
    <t>Paste name into formula</t>
  </si>
  <si>
    <t>F3</t>
  </si>
  <si>
    <t>PIVOT TABLE</t>
  </si>
  <si>
    <t>Select entire pivot table</t>
  </si>
  <si>
    <t>Toggle pivot table field checkbox</t>
  </si>
  <si>
    <t>Group pivot table items</t>
  </si>
  <si>
    <t>Alt + Shift + →</t>
  </si>
  <si>
    <t>Ungroup pivot table items</t>
  </si>
  <si>
    <t>Alt + Shift + ←</t>
  </si>
  <si>
    <t>Hide Pivot table item</t>
  </si>
  <si>
    <t>Ctrl + -</t>
  </si>
  <si>
    <t>Create pivot chart on same worksheet</t>
  </si>
  <si>
    <t>Create pivot chart on new worksheet</t>
  </si>
  <si>
    <t>Open Pivot table wizard</t>
  </si>
  <si>
    <t>Alt + D + P</t>
  </si>
  <si>
    <t>Insert Calculated field</t>
  </si>
  <si>
    <t>Ctrl + Shift + "+"</t>
  </si>
  <si>
    <t>GRID OPERATIONS</t>
  </si>
  <si>
    <t>Display Insert Dialog box</t>
  </si>
  <si>
    <t>Insert rows</t>
  </si>
  <si>
    <t>Insert columns</t>
  </si>
  <si>
    <t>Display Delete dialog box</t>
  </si>
  <si>
    <t>Delete rows</t>
  </si>
  <si>
    <t>Delete columns</t>
  </si>
  <si>
    <t>Delete cells</t>
  </si>
  <si>
    <t>Delete contents of selected cells</t>
  </si>
  <si>
    <t>Hide columns</t>
  </si>
  <si>
    <t>Ctrl + 0</t>
  </si>
  <si>
    <t>Hide rows</t>
  </si>
  <si>
    <t>Ctrl + 9</t>
  </si>
  <si>
    <t>Unhide rows</t>
  </si>
  <si>
    <t>Ctrl + Shift + 9</t>
  </si>
  <si>
    <t>Unhide columns</t>
  </si>
  <si>
    <t>Ctrl + Shift + 0</t>
  </si>
  <si>
    <t>Group rows or columns</t>
  </si>
  <si>
    <t>Ungroup rows or columns</t>
  </si>
  <si>
    <t>Open Group Dialog Box</t>
  </si>
  <si>
    <t>Open Ungroup Dialog Box</t>
  </si>
  <si>
    <t>Hide or show outline symbols</t>
  </si>
  <si>
    <t>Ctrl + 8</t>
  </si>
  <si>
    <t>WORKBOOK</t>
  </si>
  <si>
    <t>Insert new worksheet</t>
  </si>
  <si>
    <t>Shift + F11</t>
  </si>
  <si>
    <t>Go to next worksheet</t>
  </si>
  <si>
    <t>Ctrl + PgDn</t>
  </si>
  <si>
    <t>Go to previous worksheet</t>
  </si>
  <si>
    <t>Ctrl + PgUp</t>
  </si>
  <si>
    <t>Move to next pane</t>
  </si>
  <si>
    <t>F6</t>
  </si>
  <si>
    <t>Move to previous pane</t>
  </si>
  <si>
    <t>Shift + F6</t>
  </si>
  <si>
    <t>Go to next workbook</t>
  </si>
  <si>
    <t>Ctrl + Tab</t>
  </si>
  <si>
    <t>Go to previous workbook</t>
  </si>
  <si>
    <t>Ctrl + Shift + Tab</t>
  </si>
  <si>
    <t>Minimize current workbook window</t>
  </si>
  <si>
    <t>Ctrl + F9</t>
  </si>
  <si>
    <t>Maximize current workbook window</t>
  </si>
  <si>
    <t>Ctrl + F10</t>
  </si>
  <si>
    <t>Select adjacent worksheets</t>
  </si>
  <si>
    <t>Shift + Right-Arrow Key</t>
  </si>
  <si>
    <t>Select non-adjacent worksheets</t>
  </si>
  <si>
    <t>Ctrl + Right-Arrow Key</t>
  </si>
  <si>
    <t>Toggle scroll lock</t>
  </si>
  <si>
    <t>SrcLk</t>
  </si>
  <si>
    <t>OTHER</t>
  </si>
  <si>
    <t>Open Spelling dialog box</t>
  </si>
  <si>
    <t>F7</t>
  </si>
  <si>
    <t>Open Thesaurus dialog box</t>
  </si>
  <si>
    <t>Shift + F7</t>
  </si>
  <si>
    <t>Open Macro dialog box</t>
  </si>
  <si>
    <t>Alt + F8</t>
  </si>
  <si>
    <t>Open VBA Editor</t>
  </si>
  <si>
    <t>Alt + F11</t>
  </si>
  <si>
    <t>Duplicate object</t>
  </si>
  <si>
    <t>Snap to grid</t>
  </si>
  <si>
    <t>Hide or show objects</t>
  </si>
  <si>
    <t>Ctrl + 6</t>
  </si>
  <si>
    <t>Display Modify Cell Style</t>
  </si>
  <si>
    <t>Alt + `</t>
  </si>
  <si>
    <t>Display shortcut menu</t>
  </si>
  <si>
    <t>Shift + F10</t>
  </si>
  <si>
    <t>Display Window control menu</t>
  </si>
  <si>
    <t>Alt + Space</t>
  </si>
  <si>
    <t>SUM</t>
  </si>
  <si>
    <t>PRODUCT</t>
  </si>
  <si>
    <t>AVERAGE</t>
  </si>
  <si>
    <t>MIN</t>
  </si>
  <si>
    <t>STUDENT NAME</t>
  </si>
  <si>
    <t>MARKS</t>
  </si>
  <si>
    <t>PRODUCTS</t>
  </si>
  <si>
    <t>QTY</t>
  </si>
  <si>
    <t>COST</t>
  </si>
  <si>
    <t>TOTAL</t>
  </si>
  <si>
    <t>Deepa</t>
  </si>
  <si>
    <t>P1</t>
  </si>
  <si>
    <t>Binil</t>
  </si>
  <si>
    <t>P2</t>
  </si>
  <si>
    <t>suman</t>
  </si>
  <si>
    <t>P3</t>
  </si>
  <si>
    <t>Shilpa</t>
  </si>
  <si>
    <t>P4</t>
  </si>
  <si>
    <t>Sunil</t>
  </si>
  <si>
    <t>P5</t>
  </si>
  <si>
    <t>Average</t>
  </si>
  <si>
    <t>MAX</t>
  </si>
  <si>
    <t xml:space="preserve">   </t>
  </si>
  <si>
    <t>COUNT</t>
  </si>
  <si>
    <t>COUNTA</t>
  </si>
  <si>
    <t>COUNTBLANK</t>
  </si>
  <si>
    <t>Student Name</t>
  </si>
  <si>
    <t>Markas</t>
  </si>
  <si>
    <t>c</t>
  </si>
  <si>
    <t>d</t>
  </si>
  <si>
    <t xml:space="preserve"> </t>
  </si>
  <si>
    <t>COUNTIF(MEET SINGLE CONDI)</t>
  </si>
  <si>
    <t>COUNTIF</t>
  </si>
  <si>
    <t>COUNTIFS(MEET MUL CONDI)</t>
  </si>
  <si>
    <t>QUESTION -2: Count hr employees
 whose salary is EXACT 60000</t>
  </si>
  <si>
    <t>A (Department)</t>
  </si>
  <si>
    <t>B (Salary)</t>
  </si>
  <si>
    <t>GENDER</t>
  </si>
  <si>
    <t>HR</t>
  </si>
  <si>
    <t>IT</t>
  </si>
  <si>
    <t>QUESTION - 1</t>
  </si>
  <si>
    <t>No of Female</t>
  </si>
  <si>
    <t>ABOVE 50 MARKS</t>
  </si>
  <si>
    <t>QUESTION -2</t>
  </si>
  <si>
    <t>No of Male</t>
  </si>
  <si>
    <t>BELOW 50</t>
  </si>
  <si>
    <t>Question 1: IF()</t>
  </si>
  <si>
    <t>Student</t>
  </si>
  <si>
    <t>Marks</t>
  </si>
  <si>
    <r>
      <t xml:space="preserve">If marks are </t>
    </r>
    <r>
      <rPr>
        <b/>
        <sz val="11"/>
        <color theme="1"/>
        <rFont val="Segoe UI"/>
        <family val="2"/>
      </rPr>
      <t>40 or above</t>
    </r>
    <r>
      <rPr>
        <sz val="11"/>
        <color theme="1"/>
        <rFont val="Segoe UI"/>
        <family val="2"/>
      </rPr>
      <t xml:space="preserve">, display </t>
    </r>
    <r>
      <rPr>
        <b/>
        <sz val="11"/>
        <color theme="1"/>
        <rFont val="Segoe UI"/>
        <family val="2"/>
      </rPr>
      <t>Pass</t>
    </r>
    <r>
      <rPr>
        <sz val="11"/>
        <color theme="1"/>
        <rFont val="Segoe UI"/>
        <family val="2"/>
      </rPr>
      <t xml:space="preserve">; otherwise display </t>
    </r>
    <r>
      <rPr>
        <b/>
        <sz val="11"/>
        <color theme="1"/>
        <rFont val="Segoe UI"/>
        <family val="2"/>
      </rPr>
      <t>Fail</t>
    </r>
    <r>
      <rPr>
        <sz val="11"/>
        <color theme="1"/>
        <rFont val="Segoe UI"/>
        <family val="2"/>
      </rPr>
      <t>.</t>
    </r>
  </si>
  <si>
    <t>Amit</t>
  </si>
  <si>
    <t>Priya</t>
  </si>
  <si>
    <t>Rahul</t>
  </si>
  <si>
    <t>Sneha</t>
  </si>
  <si>
    <t>Rohan</t>
  </si>
  <si>
    <t>Neha</t>
  </si>
  <si>
    <t>Question 2: IFS()</t>
  </si>
  <si>
    <t>Assign grades using the following criteria:</t>
  </si>
  <si>
    <t>GRADE</t>
  </si>
  <si>
    <t>90 and above → A+</t>
  </si>
  <si>
    <t>80–89 → A</t>
  </si>
  <si>
    <t>70–79 → B</t>
  </si>
  <si>
    <t>60–69 → C</t>
  </si>
  <si>
    <t>Below 60 → Fail</t>
  </si>
  <si>
    <t>1. SUMIF()</t>
  </si>
  <si>
    <t>Question 3: Bonus Eligibility (Using IF)</t>
  </si>
  <si>
    <t>Create a Bonus column.
Sales &gt;= 60000 → Eligible
Otherwise → N Eligib</t>
  </si>
  <si>
    <t>Employee</t>
  </si>
  <si>
    <t>Sales</t>
  </si>
  <si>
    <t>Ankit</t>
  </si>
  <si>
    <t>Riya</t>
  </si>
  <si>
    <t>Mohit</t>
  </si>
  <si>
    <t>Question 4: Employee Performance Rating (Using IFS)</t>
  </si>
  <si>
    <t xml:space="preserve">
90–100 → Excellent
80–89 → Very Good
70–79 → Good
60–69 → Average
Below 60 → Poor</t>
  </si>
  <si>
    <t>Score</t>
  </si>
  <si>
    <t>Performace</t>
  </si>
  <si>
    <r>
      <t xml:space="preserve">QUESTION -1: Count </t>
    </r>
    <r>
      <rPr>
        <sz val="10"/>
        <color rgb="FFFF0000"/>
        <rFont val="Arial"/>
        <family val="2"/>
      </rPr>
      <t>IT employees</t>
    </r>
    <r>
      <rPr>
        <sz val="10"/>
        <rFont val="Arial"/>
        <family val="2"/>
      </rPr>
      <t xml:space="preserve">
 whose salary is more than 35000</t>
    </r>
  </si>
  <si>
    <t>COUNTIFS(G25:G29,"IT",H25:H29,"&gt;35000")</t>
  </si>
  <si>
    <t>COUNTIFS(G25:G29, "HR", H25:H29, "60000")</t>
  </si>
  <si>
    <t xml:space="preserve">    Name</t>
  </si>
  <si>
    <t>Type 1</t>
  </si>
  <si>
    <t>Water</t>
  </si>
  <si>
    <t>Grass</t>
  </si>
  <si>
    <t>Fire</t>
  </si>
  <si>
    <t xml:space="preserve">    Charmeleon</t>
  </si>
  <si>
    <t xml:space="preserve">    </t>
  </si>
  <si>
    <t>Status</t>
  </si>
  <si>
    <t>Present</t>
  </si>
  <si>
    <t>Absent</t>
  </si>
  <si>
    <t>Karan</t>
  </si>
  <si>
    <t>Department</t>
  </si>
  <si>
    <t>Total</t>
  </si>
  <si>
    <t xml:space="preserve">    Bulbasaur</t>
  </si>
  <si>
    <t>Type</t>
  </si>
  <si>
    <t>Total Sum</t>
  </si>
  <si>
    <t xml:space="preserve">    Ivysaur</t>
  </si>
  <si>
    <t xml:space="preserve">    Venusaur</t>
  </si>
  <si>
    <t xml:space="preserve">    Charmander</t>
  </si>
  <si>
    <t xml:space="preserve">    Charizard</t>
  </si>
  <si>
    <t xml:space="preserve">    Squirtle</t>
  </si>
  <si>
    <t xml:space="preserve">    Wartortle</t>
  </si>
  <si>
    <t xml:space="preserve">    Blastoise</t>
  </si>
  <si>
    <t>Example SUMIF() function</t>
  </si>
  <si>
    <t>EXAMPLE SUMIFS() FUNCTION</t>
  </si>
  <si>
    <t>Salary</t>
  </si>
  <si>
    <t>QUE : 1 =&gt; Find the total salary of employees who are in IT and Present.</t>
  </si>
  <si>
    <t>QUE : 2 =&gt; Find the total salary of employees who are in HR and Present.</t>
  </si>
  <si>
    <t>SUMIFS(D2:D9,B2:B9,"IT",C2:C9,"Present")</t>
  </si>
  <si>
    <t>SUMIFS(D2:D9,B2:B9,"HR",C2:C9,"Present")</t>
  </si>
  <si>
    <t>COUNTIF(B26:B30, "f")</t>
  </si>
  <si>
    <t>COUNTIF(B26:B30, "M")</t>
  </si>
  <si>
    <t>IFS(</t>
  </si>
  <si>
    <t>B51&gt;=90,"A+",</t>
  </si>
  <si>
    <t>B51&gt;=80,"A",</t>
  </si>
  <si>
    <t>B51&gt;=70,"B",</t>
  </si>
  <si>
    <t>B51&gt;=60,"C",</t>
  </si>
  <si>
    <t>B51&lt;60,"Fail"</t>
  </si>
  <si>
    <t>)</t>
  </si>
  <si>
    <t>IF(B63&gt;=60000,"Eligible","Not Eligible")</t>
  </si>
  <si>
    <t>saving workbook formats</t>
  </si>
  <si>
    <t>selecting ranges</t>
  </si>
  <si>
    <t>Moving around the workbook</t>
  </si>
  <si>
    <t>create sheet and filename</t>
  </si>
  <si>
    <t>zoom in zoom out</t>
  </si>
  <si>
    <t>formula bar</t>
  </si>
  <si>
    <t>Name box</t>
  </si>
  <si>
    <t>scroll bar : vertical and horizontal</t>
  </si>
  <si>
    <t>Tabs and options and Ribion</t>
  </si>
  <si>
    <t>Quick Access Tool(QAT)</t>
  </si>
  <si>
    <t>Rows, column and celss</t>
  </si>
  <si>
    <t>The Excel screen</t>
  </si>
  <si>
    <t>Excel Layout:</t>
  </si>
  <si>
    <t>Column Headers = Letters, like Column D, 16,384 columns</t>
  </si>
  <si>
    <t>Row Headers = Numbers, like row 20, 1,048576 rows</t>
  </si>
  <si>
    <t>Cells = Intersection of Column and Row, like cell D20,
16,384*1,048,576 = 17,179,869,184 cells</t>
  </si>
  <si>
    <t>Horizontal &amp; Vertical Scroll Bars &amp; Buttons = Expose more rows or columns of cells</t>
  </si>
  <si>
    <t>Worksheets = Sheet = All The Cells</t>
  </si>
  <si>
    <t>Sheet Tab Names = Name of Sheet, like the name of this sheet "Structure"</t>
  </si>
  <si>
    <t>Active Sheet is the Worksheet that is Selected</t>
  </si>
  <si>
    <t>Double-click Sheet Tab to rename. ALWAYS name a sheet so that it communicates the purpose of the sheet. DO NOT use default names Sheet1, Sheet2</t>
  </si>
  <si>
    <t>Right-click Sheet Tab, Tab Color to add color to Sheet Tab</t>
  </si>
  <si>
    <t>Workbooks = All Worksheets (later we will see that a workbook
can contain other objects like a Data Model or Query)</t>
  </si>
  <si>
    <t>File = Workbook, like this workbook file that is named "01-M365ExcelClass.xlsx"</t>
  </si>
  <si>
    <t>Ribbon Tabs = contains commands.
Keyboard to show or hide Ribbon: Ctrl + F1 (toggle)</t>
  </si>
  <si>
    <t>Quick Access Toolbar = QAT = contains commands</t>
  </si>
  <si>
    <t>Right-click features in Ribbon Tabs, Add To QAT</t>
  </si>
  <si>
    <t>Right-click QAT to move below or above Ribbon</t>
  </si>
  <si>
    <t>Revenue ($)</t>
  </si>
  <si>
    <t>Keyboard Shortcuts are Fast! Some useful Keyboard Shortcuts:</t>
  </si>
  <si>
    <r>
      <t xml:space="preserve">Jump to end of current region =&gt; </t>
    </r>
    <r>
      <rPr>
        <b/>
        <sz val="11"/>
        <color theme="1"/>
        <rFont val="Calibri"/>
        <family val="2"/>
        <scheme val="minor"/>
      </rPr>
      <t>Ctrl + Arrow</t>
    </r>
  </si>
  <si>
    <r>
      <t xml:space="preserve">Highlight to end of current region =&gt; </t>
    </r>
    <r>
      <rPr>
        <b/>
        <sz val="11"/>
        <color theme="1"/>
        <rFont val="Calibri"/>
        <family val="2"/>
        <scheme val="minor"/>
      </rPr>
      <t>Ctrl + Shift + Arrow</t>
    </r>
  </si>
  <si>
    <r>
      <t xml:space="preserve">Sum Function =&gt; </t>
    </r>
    <r>
      <rPr>
        <b/>
        <sz val="11"/>
        <color theme="1"/>
        <rFont val="Calibri"/>
        <family val="2"/>
        <scheme val="minor"/>
      </rPr>
      <t>Alt + =</t>
    </r>
  </si>
  <si>
    <r>
      <t xml:space="preserve">Open Format Cells dialog box if cell or range is selected =&gt; </t>
    </r>
    <r>
      <rPr>
        <b/>
        <sz val="11"/>
        <color theme="1"/>
        <rFont val="Calibri"/>
        <family val="2"/>
        <scheme val="minor"/>
      </rPr>
      <t>Ctrl + 1</t>
    </r>
  </si>
  <si>
    <r>
      <t xml:space="preserve">Open Chart Format Task Pane if chart is selected =&gt; </t>
    </r>
    <r>
      <rPr>
        <b/>
        <sz val="11"/>
        <color theme="1"/>
        <rFont val="Calibri"/>
        <family val="2"/>
        <scheme val="minor"/>
      </rPr>
      <t>Ctrl + 1</t>
    </r>
  </si>
  <si>
    <t>Many, many more that we will learn in class …</t>
  </si>
  <si>
    <t>Entering Data &amp; Formulas into Cells:</t>
  </si>
  <si>
    <r>
      <rPr>
        <b/>
        <sz val="11"/>
        <color theme="1"/>
        <rFont val="Calibri"/>
        <family val="2"/>
        <scheme val="minor"/>
      </rPr>
      <t>Ctrl + Enter</t>
    </r>
    <r>
      <rPr>
        <sz val="11"/>
        <color theme="1"/>
        <rFont val="Calibri"/>
        <family val="2"/>
        <scheme val="minor"/>
      </rPr>
      <t xml:space="preserve"> = Puts the content into active cell and keeps active cell selected. Use this when your goal is to put the content into the active cell and immediately do something to the active cell, like copy or format it.</t>
    </r>
  </si>
  <si>
    <r>
      <rPr>
        <b/>
        <sz val="11"/>
        <color theme="1"/>
        <rFont val="Calibri"/>
        <family val="2"/>
        <scheme val="minor"/>
      </rPr>
      <t>Enter</t>
    </r>
    <r>
      <rPr>
        <sz val="11"/>
        <color theme="1"/>
        <rFont val="Calibri"/>
        <family val="2"/>
        <scheme val="minor"/>
      </rPr>
      <t xml:space="preserve"> = Puts the content into active cell and moves the selected cell down by one row. Use this when your goal is to put the content into the active cell and immediately do something in the cell below, like enter more content.</t>
    </r>
  </si>
  <si>
    <r>
      <rPr>
        <b/>
        <sz val="11"/>
        <color theme="1"/>
        <rFont val="Calibri"/>
        <family val="2"/>
        <scheme val="minor"/>
      </rPr>
      <t>Shift + Enter</t>
    </r>
    <r>
      <rPr>
        <sz val="11"/>
        <color theme="1"/>
        <rFont val="Calibri"/>
        <family val="2"/>
        <scheme val="minor"/>
      </rPr>
      <t xml:space="preserve"> = Puts the content into active cell and moves the selected cell up by one row. Use this when your goal is to put the content into the active cell and move the selected cell up by one row, like when you need to enter a formula but the worksheet screen does not show the active cell.</t>
    </r>
  </si>
  <si>
    <r>
      <rPr>
        <b/>
        <sz val="11"/>
        <color theme="1"/>
        <rFont val="Calibri"/>
        <family val="2"/>
        <scheme val="minor"/>
      </rPr>
      <t>Tab</t>
    </r>
    <r>
      <rPr>
        <sz val="11"/>
        <color theme="1"/>
        <rFont val="Calibri"/>
        <family val="2"/>
        <scheme val="minor"/>
      </rPr>
      <t xml:space="preserve"> = Puts the content into active cell and moves the selected cell to the right by one column. Use this when your goal is to put the content into the active cell and immediately do something in the cell to the right, like enter more content.</t>
    </r>
  </si>
  <si>
    <r>
      <rPr>
        <b/>
        <sz val="11"/>
        <color theme="1"/>
        <rFont val="Calibri"/>
        <family val="2"/>
        <scheme val="minor"/>
      </rPr>
      <t>Shift + Tab</t>
    </r>
    <r>
      <rPr>
        <sz val="11"/>
        <color theme="1"/>
        <rFont val="Calibri"/>
        <family val="2"/>
        <scheme val="minor"/>
      </rPr>
      <t xml:space="preserve"> = Puts the content into active cell and moves the selected cell to the right by one column. Use this when your goal is to put the content into the active cell and immediately do something in the cell to the left, like enter more content.</t>
    </r>
  </si>
  <si>
    <t>Selection keyboards</t>
  </si>
  <si>
    <r>
      <rPr>
        <b/>
        <sz val="11"/>
        <color theme="1"/>
        <rFont val="Calibri"/>
        <family val="2"/>
        <scheme val="minor"/>
      </rPr>
      <t>Ctrl + Shift + Arrow</t>
    </r>
    <r>
      <rPr>
        <sz val="11"/>
        <color theme="1"/>
        <rFont val="Calibri"/>
        <family val="2"/>
        <scheme val="minor"/>
      </rPr>
      <t xml:space="preserve"> = Selects a range of cell content in the direction of the arrow, stops when it bumps into the first empty cell. Use this when you want to quickly highlight a column or row of cell content. If there is no content when you invoke this keyboard, then this keyboard jumps all the way to the edge of the worksheet.</t>
    </r>
  </si>
  <si>
    <r>
      <rPr>
        <b/>
        <sz val="11"/>
        <color theme="1"/>
        <rFont val="Calibri"/>
        <family val="2"/>
        <scheme val="minor"/>
      </rPr>
      <t>Ctrl + *</t>
    </r>
    <r>
      <rPr>
        <sz val="11"/>
        <color theme="1"/>
        <rFont val="Calibri"/>
        <family val="2"/>
        <scheme val="minor"/>
      </rPr>
      <t xml:space="preserve"> (Number Pad) = Ctrl + Shift + 8 (Standard Keys) = Selects the current region, which means everything in all directions from the active cell, up to the first complete row or column of empty cells, or it bumps into the worksheet row numbers or column letters. This is the keyboard shortcut to instantly select a whole table.</t>
    </r>
  </si>
  <si>
    <r>
      <rPr>
        <b/>
        <sz val="11"/>
        <color theme="1"/>
        <rFont val="Calibri"/>
        <family val="2"/>
        <scheme val="minor"/>
      </rPr>
      <t>Shift + Arrow</t>
    </r>
    <r>
      <rPr>
        <sz val="11"/>
        <color theme="1"/>
        <rFont val="Calibri"/>
        <family val="2"/>
        <scheme val="minor"/>
      </rPr>
      <t xml:space="preserve"> = Highlights one cell at a time in the direction of the arrow, incrementing slowly on each click of the arrow. The trick is to hold the Shift key and then tap the arrow key, once for each character that you want to select. This is useful when you have a small selection to make within a larger block of cells.</t>
    </r>
  </si>
  <si>
    <t>Navigation Keys</t>
  </si>
  <si>
    <r>
      <rPr>
        <b/>
        <sz val="11"/>
        <color theme="1"/>
        <rFont val="Calibri"/>
        <family val="2"/>
        <scheme val="minor"/>
      </rPr>
      <t>Ctrl + Home</t>
    </r>
    <r>
      <rPr>
        <sz val="11"/>
        <color theme="1"/>
        <rFont val="Calibri"/>
        <family val="2"/>
        <scheme val="minor"/>
      </rPr>
      <t xml:space="preserve"> = Jumps the active cell to cell A1. This is convenient when you want to jump to the very top of the worksheet.</t>
    </r>
  </si>
  <si>
    <r>
      <rPr>
        <b/>
        <sz val="11"/>
        <color theme="1"/>
        <rFont val="Calibri"/>
        <family val="2"/>
        <scheme val="minor"/>
      </rPr>
      <t>Ctrl + End</t>
    </r>
    <r>
      <rPr>
        <sz val="11"/>
        <color theme="1"/>
        <rFont val="Calibri"/>
        <family val="2"/>
        <scheme val="minor"/>
      </rPr>
      <t xml:space="preserve"> = Jumps the active cell to last cell used in entire worksheet. You can use this to jump to the very bottom of your work area.</t>
    </r>
  </si>
  <si>
    <r>
      <rPr>
        <b/>
        <sz val="11"/>
        <color theme="1"/>
        <rFont val="Calibri"/>
        <family val="2"/>
        <scheme val="minor"/>
      </rPr>
      <t>Ctrl + Arrow</t>
    </r>
    <r>
      <rPr>
        <sz val="11"/>
        <color theme="1"/>
        <rFont val="Calibri"/>
        <family val="2"/>
        <scheme val="minor"/>
      </rPr>
      <t xml:space="preserve"> = Jumps the active cell to last cell with content, in the direction of the arrow, stopping when it bumps into the first empty cell. This keyboard is great when you want to jump to the last bit of data in a row or a column.</t>
    </r>
  </si>
  <si>
    <r>
      <rPr>
        <b/>
        <sz val="11"/>
        <color theme="1"/>
        <rFont val="Calibri"/>
        <family val="2"/>
        <scheme val="minor"/>
      </rPr>
      <t xml:space="preserve">Ctrl + </t>
    </r>
    <r>
      <rPr>
        <sz val="11"/>
        <color theme="1"/>
        <rFont val="Calibri"/>
        <family val="2"/>
        <scheme val="minor"/>
      </rPr>
      <t>. (period or Decimal key) = Jumps the active cell to next corner in a selected range. This keyboard only jumps between the four corners of a selected range. It is useful for navigating the four corners of a large table.</t>
    </r>
  </si>
  <si>
    <r>
      <rPr>
        <b/>
        <sz val="11"/>
        <color theme="1"/>
        <rFont val="Calibri"/>
        <family val="2"/>
        <scheme val="minor"/>
      </rPr>
      <t>Ctrl + Backspace</t>
    </r>
    <r>
      <rPr>
        <sz val="11"/>
        <color theme="1"/>
        <rFont val="Calibri"/>
        <family val="2"/>
        <scheme val="minor"/>
      </rPr>
      <t xml:space="preserve"> = Jumps the screen back to the active cell. This keyboard works whether or not the active cell is in edit mode or the cell is just selected. It is a great keyboard when the active cell is off screen, but you need to instantly jump back to the active cell.</t>
    </r>
  </si>
  <si>
    <t>Other Keyboards</t>
  </si>
  <si>
    <r>
      <rPr>
        <b/>
        <sz val="11"/>
        <color theme="1"/>
        <rFont val="Calibri"/>
        <family val="2"/>
        <scheme val="minor"/>
      </rPr>
      <t>F2</t>
    </r>
    <r>
      <rPr>
        <sz val="11"/>
        <color theme="1"/>
        <rFont val="Calibri"/>
        <family val="2"/>
        <scheme val="minor"/>
      </rPr>
      <t xml:space="preserve"> = put cell in edit mode.</t>
    </r>
  </si>
  <si>
    <r>
      <rPr>
        <b/>
        <sz val="11"/>
        <color theme="1"/>
        <rFont val="Calibri"/>
        <family val="2"/>
        <scheme val="minor"/>
      </rPr>
      <t>F4</t>
    </r>
    <r>
      <rPr>
        <sz val="11"/>
        <color theme="1"/>
        <rFont val="Calibri"/>
        <family val="2"/>
        <scheme val="minor"/>
      </rPr>
      <t xml:space="preserve"> = When cell is in Edit Mode, toggles between the different types of Cell References in a formula.</t>
    </r>
  </si>
  <si>
    <r>
      <rPr>
        <b/>
        <sz val="11"/>
        <color theme="1"/>
        <rFont val="Calibri"/>
        <family val="2"/>
        <scheme val="minor"/>
      </rPr>
      <t>F7</t>
    </r>
    <r>
      <rPr>
        <sz val="11"/>
        <color theme="1"/>
        <rFont val="Calibri"/>
        <family val="2"/>
        <scheme val="minor"/>
      </rPr>
      <t xml:space="preserve"> = Spell Check.</t>
    </r>
  </si>
  <si>
    <r>
      <rPr>
        <b/>
        <sz val="11"/>
        <color theme="1"/>
        <rFont val="Calibri"/>
        <family val="2"/>
        <scheme val="minor"/>
      </rPr>
      <t>F9</t>
    </r>
    <r>
      <rPr>
        <sz val="11"/>
        <color theme="1"/>
        <rFont val="Calibri"/>
        <family val="2"/>
        <scheme val="minor"/>
      </rPr>
      <t xml:space="preserve"> = Evaluate Formula Element.</t>
    </r>
  </si>
  <si>
    <r>
      <rPr>
        <b/>
        <sz val="11"/>
        <color theme="1"/>
        <rFont val="Calibri"/>
        <family val="2"/>
        <scheme val="minor"/>
      </rPr>
      <t>Ctrl + C</t>
    </r>
    <r>
      <rPr>
        <sz val="11"/>
        <color theme="1"/>
        <rFont val="Calibri"/>
        <family val="2"/>
        <scheme val="minor"/>
      </rPr>
      <t xml:space="preserve"> = Copy.</t>
    </r>
  </si>
  <si>
    <r>
      <rPr>
        <b/>
        <sz val="11"/>
        <color theme="1"/>
        <rFont val="Calibri"/>
        <family val="2"/>
        <scheme val="minor"/>
      </rPr>
      <t>Ctrl + V</t>
    </r>
    <r>
      <rPr>
        <sz val="11"/>
        <color theme="1"/>
        <rFont val="Calibri"/>
        <family val="2"/>
        <scheme val="minor"/>
      </rPr>
      <t xml:space="preserve"> = Paste.</t>
    </r>
  </si>
  <si>
    <r>
      <rPr>
        <b/>
        <sz val="11"/>
        <color theme="1"/>
        <rFont val="Calibri"/>
        <family val="2"/>
        <scheme val="minor"/>
      </rPr>
      <t>Ctrl + X</t>
    </r>
    <r>
      <rPr>
        <sz val="11"/>
        <color theme="1"/>
        <rFont val="Calibri"/>
        <family val="2"/>
        <scheme val="minor"/>
      </rPr>
      <t xml:space="preserve"> = Cut.</t>
    </r>
  </si>
  <si>
    <r>
      <rPr>
        <b/>
        <sz val="11"/>
        <color theme="1"/>
        <rFont val="Calibri"/>
        <family val="2"/>
        <scheme val="minor"/>
      </rPr>
      <t>Ctrl + Shift + Arrow</t>
    </r>
    <r>
      <rPr>
        <sz val="11"/>
        <color theme="1"/>
        <rFont val="Calibri"/>
        <family val="2"/>
        <scheme val="minor"/>
      </rPr>
      <t xml:space="preserve"> = Select everything up to the first empty cell.</t>
    </r>
  </si>
  <si>
    <r>
      <rPr>
        <b/>
        <sz val="11"/>
        <color theme="1"/>
        <rFont val="Calibri"/>
        <family val="2"/>
        <scheme val="minor"/>
      </rPr>
      <t>Alt + =</t>
    </r>
    <r>
      <rPr>
        <sz val="11"/>
        <color theme="1"/>
        <rFont val="Calibri"/>
        <family val="2"/>
        <scheme val="minor"/>
      </rPr>
      <t xml:space="preserve"> (Equal Sign) = Insert SUM function into cell.</t>
    </r>
  </si>
  <si>
    <r>
      <rPr>
        <b/>
        <sz val="11"/>
        <color theme="1"/>
        <rFont val="Calibri"/>
        <family val="2"/>
        <scheme val="minor"/>
      </rPr>
      <t>Ctrl + Backspace</t>
    </r>
    <r>
      <rPr>
        <sz val="11"/>
        <color theme="1"/>
        <rFont val="Calibri"/>
        <family val="2"/>
        <scheme val="minor"/>
      </rPr>
      <t xml:space="preserve"> = Jump Back to Active Cell.</t>
    </r>
  </si>
  <si>
    <r>
      <rPr>
        <b/>
        <sz val="11"/>
        <color theme="1"/>
        <rFont val="Calibri"/>
        <family val="2"/>
        <scheme val="minor"/>
      </rPr>
      <t>Shift + Enter</t>
    </r>
    <r>
      <rPr>
        <sz val="11"/>
        <color theme="1"/>
        <rFont val="Calibri"/>
        <family val="2"/>
        <scheme val="minor"/>
      </rPr>
      <t xml:space="preserve"> = Puts the content into active cell and moves the selected cell up by one row.</t>
    </r>
  </si>
  <si>
    <r>
      <rPr>
        <b/>
        <sz val="11"/>
        <color theme="1"/>
        <rFont val="Calibri"/>
        <family val="2"/>
        <scheme val="minor"/>
      </rPr>
      <t>Alt, N, V, T</t>
    </r>
    <r>
      <rPr>
        <sz val="11"/>
        <color theme="1"/>
        <rFont val="Calibri"/>
        <family val="2"/>
        <scheme val="minor"/>
      </rPr>
      <t xml:space="preserve"> = Open Create PivotTable dialog box.</t>
    </r>
  </si>
  <si>
    <r>
      <rPr>
        <b/>
        <sz val="11"/>
        <color theme="1"/>
        <rFont val="Calibri"/>
        <family val="2"/>
        <scheme val="minor"/>
      </rPr>
      <t>Alt, N, V</t>
    </r>
    <r>
      <rPr>
        <sz val="11"/>
        <color theme="1"/>
        <rFont val="Calibri"/>
        <family val="2"/>
        <scheme val="minor"/>
      </rPr>
      <t xml:space="preserve"> = Open Create PivotTable dialog box if you do not have a Power BI Account or you are not logged in.</t>
    </r>
  </si>
  <si>
    <r>
      <rPr>
        <b/>
        <sz val="11"/>
        <color theme="1"/>
        <rFont val="Calibri"/>
        <family val="2"/>
        <scheme val="minor"/>
      </rPr>
      <t>Alt, P, S, P</t>
    </r>
    <r>
      <rPr>
        <sz val="11"/>
        <color theme="1"/>
        <rFont val="Calibri"/>
        <family val="2"/>
        <scheme val="minor"/>
      </rPr>
      <t xml:space="preserve"> = Open Page Setup dialog box.</t>
    </r>
  </si>
  <si>
    <r>
      <rPr>
        <b/>
        <sz val="11"/>
        <color theme="1"/>
        <rFont val="Calibri"/>
        <family val="2"/>
        <scheme val="minor"/>
      </rPr>
      <t>Alt, A, M</t>
    </r>
    <r>
      <rPr>
        <sz val="11"/>
        <color theme="1"/>
        <rFont val="Calibri"/>
        <family val="2"/>
        <scheme val="minor"/>
      </rPr>
      <t xml:space="preserve"> = Remove Duplicates.</t>
    </r>
  </si>
  <si>
    <r>
      <rPr>
        <b/>
        <sz val="11"/>
        <color theme="1"/>
        <rFont val="Calibri"/>
        <family val="2"/>
        <scheme val="minor"/>
      </rPr>
      <t>Alt, A, D, M</t>
    </r>
    <r>
      <rPr>
        <sz val="11"/>
        <color theme="1"/>
        <rFont val="Calibri"/>
        <family val="2"/>
        <scheme val="minor"/>
      </rPr>
      <t xml:space="preserve"> = Open Data Model.</t>
    </r>
  </si>
  <si>
    <r>
      <rPr>
        <b/>
        <sz val="11"/>
        <color theme="1"/>
        <rFont val="Calibri"/>
        <family val="2"/>
        <scheme val="minor"/>
      </rPr>
      <t>Right-Click Key, B, V</t>
    </r>
    <r>
      <rPr>
        <sz val="11"/>
        <color theme="1"/>
        <rFont val="Calibri"/>
        <family val="2"/>
        <scheme val="minor"/>
      </rPr>
      <t xml:space="preserve"> = Convert Excel Table to Range.</t>
    </r>
  </si>
  <si>
    <r>
      <rPr>
        <b/>
        <sz val="11"/>
        <color theme="1"/>
        <rFont val="Calibri"/>
        <family val="2"/>
        <scheme val="minor"/>
      </rPr>
      <t>Alt, “Position of Item in QAT”</t>
    </r>
    <r>
      <rPr>
        <sz val="11"/>
        <color theme="1"/>
        <rFont val="Calibri"/>
        <family val="2"/>
        <scheme val="minor"/>
      </rPr>
      <t xml:space="preserve"> = Invoke button from QAT based on position of button in QAT.</t>
    </r>
  </si>
  <si>
    <r>
      <rPr>
        <b/>
        <sz val="11"/>
        <color theme="1"/>
        <rFont val="Calibri"/>
        <family val="2"/>
        <scheme val="minor"/>
      </rPr>
      <t>Ctrl + F1</t>
    </r>
    <r>
      <rPr>
        <sz val="11"/>
        <color theme="1"/>
        <rFont val="Calibri"/>
        <family val="2"/>
        <scheme val="minor"/>
      </rPr>
      <t xml:space="preserve"> = Toggles Tabs in Ribbon to Show or Hide.</t>
    </r>
  </si>
  <si>
    <t>Laptop Keyboards:</t>
  </si>
  <si>
    <r>
      <rPr>
        <b/>
        <sz val="11"/>
        <color theme="1"/>
        <rFont val="Calibri"/>
        <family val="2"/>
        <scheme val="minor"/>
      </rPr>
      <t>Fx (Fn) + F12</t>
    </r>
    <r>
      <rPr>
        <sz val="11"/>
        <color theme="1"/>
        <rFont val="Calibri"/>
        <family val="2"/>
        <scheme val="minor"/>
      </rPr>
      <t xml:space="preserve"> = Save As when keyboards require the Fx Function Key.</t>
    </r>
  </si>
  <si>
    <r>
      <rPr>
        <b/>
        <sz val="11"/>
        <color theme="1"/>
        <rFont val="Calibri"/>
        <family val="2"/>
        <scheme val="minor"/>
      </rPr>
      <t>Fx (Fn) + Esc</t>
    </r>
    <r>
      <rPr>
        <sz val="11"/>
        <color theme="1"/>
        <rFont val="Calibri"/>
        <family val="2"/>
        <scheme val="minor"/>
      </rPr>
      <t xml:space="preserve"> = Sets the option on your laptop so that you can access the F keys directly without using the Fx (Fn) key.</t>
    </r>
  </si>
  <si>
    <t>F Key Keyboards:</t>
  </si>
  <si>
    <r>
      <rPr>
        <b/>
        <sz val="11"/>
        <color theme="1"/>
        <rFont val="Calibri"/>
        <family val="2"/>
        <scheme val="minor"/>
      </rPr>
      <t>F1</t>
    </r>
    <r>
      <rPr>
        <sz val="11"/>
        <color theme="1"/>
        <rFont val="Calibri"/>
        <family val="2"/>
        <scheme val="minor"/>
      </rPr>
      <t xml:space="preserve"> = Opens Help Task Pane.</t>
    </r>
  </si>
  <si>
    <r>
      <rPr>
        <b/>
        <sz val="11"/>
        <color theme="1"/>
        <rFont val="Calibri"/>
        <family val="2"/>
        <scheme val="minor"/>
      </rPr>
      <t>Ctrl + F1</t>
    </r>
    <r>
      <rPr>
        <sz val="11"/>
        <color theme="1"/>
        <rFont val="Calibri"/>
        <family val="2"/>
        <scheme val="minor"/>
      </rPr>
      <t xml:space="preserve"> = Toggles the Ribbon between Collapsed and Showing.</t>
    </r>
  </si>
  <si>
    <r>
      <rPr>
        <b/>
        <sz val="11"/>
        <color theme="1"/>
        <rFont val="Calibri"/>
        <family val="2"/>
        <scheme val="minor"/>
      </rPr>
      <t>Alt + F11</t>
    </r>
    <r>
      <rPr>
        <sz val="11"/>
        <color theme="1"/>
        <rFont val="Calibri"/>
        <family val="2"/>
        <scheme val="minor"/>
      </rPr>
      <t xml:space="preserve"> = Insert new Default Chart on the Active Worksheet.</t>
    </r>
  </si>
  <si>
    <r>
      <rPr>
        <b/>
        <sz val="11"/>
        <color theme="1"/>
        <rFont val="Calibri"/>
        <family val="2"/>
        <scheme val="minor"/>
      </rPr>
      <t>F2</t>
    </r>
    <r>
      <rPr>
        <sz val="11"/>
        <color theme="1"/>
        <rFont val="Calibri"/>
        <family val="2"/>
        <scheme val="minor"/>
      </rPr>
      <t xml:space="preserve"> = Puts Cell in Edit Mode.</t>
    </r>
  </si>
  <si>
    <r>
      <rPr>
        <b/>
        <sz val="11"/>
        <color theme="1"/>
        <rFont val="Calibri"/>
        <family val="2"/>
        <scheme val="minor"/>
      </rPr>
      <t>F3</t>
    </r>
    <r>
      <rPr>
        <sz val="11"/>
        <color theme="1"/>
        <rFont val="Calibri"/>
        <family val="2"/>
        <scheme val="minor"/>
      </rPr>
      <t xml:space="preserve"> = Opens Paste Name dialog Box (When Defined Names exist).</t>
    </r>
  </si>
  <si>
    <r>
      <rPr>
        <b/>
        <sz val="11"/>
        <color theme="1"/>
        <rFont val="Calibri"/>
        <family val="2"/>
        <scheme val="minor"/>
      </rPr>
      <t>Ctrl + F3</t>
    </r>
    <r>
      <rPr>
        <sz val="11"/>
        <color theme="1"/>
        <rFont val="Calibri"/>
        <family val="2"/>
        <scheme val="minor"/>
      </rPr>
      <t xml:space="preserve"> = Opens Defined Name Manager dialog box.</t>
    </r>
  </si>
  <si>
    <r>
      <rPr>
        <b/>
        <sz val="11"/>
        <color theme="1"/>
        <rFont val="Calibri"/>
        <family val="2"/>
        <scheme val="minor"/>
      </rPr>
      <t xml:space="preserve">Ctrl + Shift + F3 </t>
    </r>
    <r>
      <rPr>
        <sz val="11"/>
        <color theme="1"/>
        <rFont val="Calibri"/>
        <family val="2"/>
        <scheme val="minor"/>
      </rPr>
      <t>= Opens Create (Defined Names) From Selection dialog box.</t>
    </r>
  </si>
  <si>
    <r>
      <rPr>
        <b/>
        <sz val="11"/>
        <color theme="1"/>
        <rFont val="Calibri"/>
        <family val="2"/>
        <scheme val="minor"/>
      </rPr>
      <t>Shift + F3</t>
    </r>
    <r>
      <rPr>
        <sz val="11"/>
        <color theme="1"/>
        <rFont val="Calibri"/>
        <family val="2"/>
        <scheme val="minor"/>
      </rPr>
      <t xml:space="preserve"> = When Cell is in Edit Mode, opens Insert Function dialog box.</t>
    </r>
  </si>
  <si>
    <r>
      <rPr>
        <b/>
        <sz val="11"/>
        <color theme="1"/>
        <rFont val="Calibri"/>
        <family val="2"/>
        <scheme val="minor"/>
      </rPr>
      <t>Alt + F3</t>
    </r>
    <r>
      <rPr>
        <sz val="11"/>
        <color theme="1"/>
        <rFont val="Calibri"/>
        <family val="2"/>
        <scheme val="minor"/>
      </rPr>
      <t xml:space="preserve"> = selects Name Box in Formula Bar.</t>
    </r>
  </si>
  <si>
    <r>
      <rPr>
        <b/>
        <sz val="11"/>
        <color theme="1"/>
        <rFont val="Calibri"/>
        <family val="2"/>
        <scheme val="minor"/>
      </rPr>
      <t>F4</t>
    </r>
    <r>
      <rPr>
        <sz val="11"/>
        <color theme="1"/>
        <rFont val="Calibri"/>
        <family val="2"/>
        <scheme val="minor"/>
      </rPr>
      <t xml:space="preserve"> = Repeats Last Action.</t>
    </r>
  </si>
  <si>
    <r>
      <rPr>
        <b/>
        <sz val="11"/>
        <color theme="1"/>
        <rFont val="Calibri"/>
        <family val="2"/>
        <scheme val="minor"/>
      </rPr>
      <t>F4</t>
    </r>
    <r>
      <rPr>
        <sz val="11"/>
        <color theme="1"/>
        <rFont val="Calibri"/>
        <family val="2"/>
        <scheme val="minor"/>
      </rPr>
      <t xml:space="preserve"> = When Cell is in Edit Mode, toggles between the different types of Cell References in a formula.</t>
    </r>
  </si>
  <si>
    <r>
      <rPr>
        <b/>
        <sz val="11"/>
        <color theme="1"/>
        <rFont val="Calibri"/>
        <family val="2"/>
        <scheme val="minor"/>
      </rPr>
      <t>F4</t>
    </r>
    <r>
      <rPr>
        <sz val="11"/>
        <color theme="1"/>
        <rFont val="Calibri"/>
        <family val="2"/>
        <scheme val="minor"/>
      </rPr>
      <t xml:space="preserve"> = When in the VBA Editor Window, opens Properties Pane.</t>
    </r>
  </si>
  <si>
    <r>
      <rPr>
        <b/>
        <sz val="11"/>
        <color theme="1"/>
        <rFont val="Calibri"/>
        <family val="2"/>
        <scheme val="minor"/>
      </rPr>
      <t>F5</t>
    </r>
    <r>
      <rPr>
        <sz val="11"/>
        <color theme="1"/>
        <rFont val="Calibri"/>
        <family val="2"/>
        <scheme val="minor"/>
      </rPr>
      <t xml:space="preserve"> = Opens Go To dialog box.</t>
    </r>
  </si>
  <si>
    <r>
      <rPr>
        <b/>
        <sz val="11"/>
        <color theme="1"/>
        <rFont val="Calibri"/>
        <family val="2"/>
        <scheme val="minor"/>
      </rPr>
      <t>F6</t>
    </r>
    <r>
      <rPr>
        <sz val="11"/>
        <color theme="1"/>
        <rFont val="Calibri"/>
        <family val="2"/>
        <scheme val="minor"/>
      </rPr>
      <t xml:space="preserve"> = Activates Sheet Tab so you can use the Right-Click Key.</t>
    </r>
  </si>
  <si>
    <r>
      <rPr>
        <b/>
        <sz val="11"/>
        <color theme="1"/>
        <rFont val="Calibri"/>
        <family val="2"/>
        <scheme val="minor"/>
      </rPr>
      <t>F8</t>
    </r>
    <r>
      <rPr>
        <sz val="11"/>
        <color theme="1"/>
        <rFont val="Calibri"/>
        <family val="2"/>
        <scheme val="minor"/>
      </rPr>
      <t xml:space="preserve"> = Toggles Select Range between two clicks.</t>
    </r>
  </si>
  <si>
    <r>
      <rPr>
        <b/>
        <sz val="11"/>
        <color theme="1"/>
        <rFont val="Calibri"/>
        <family val="2"/>
        <scheme val="minor"/>
      </rPr>
      <t>Shift + F8</t>
    </r>
    <r>
      <rPr>
        <sz val="11"/>
        <color theme="1"/>
        <rFont val="Calibri"/>
        <family val="2"/>
        <scheme val="minor"/>
      </rPr>
      <t xml:space="preserve"> = Toggles Select Noncontiguous Range option.</t>
    </r>
  </si>
  <si>
    <r>
      <rPr>
        <b/>
        <sz val="11"/>
        <color theme="1"/>
        <rFont val="Calibri"/>
        <family val="2"/>
        <scheme val="minor"/>
      </rPr>
      <t>Alt + F8</t>
    </r>
    <r>
      <rPr>
        <sz val="11"/>
        <color theme="1"/>
        <rFont val="Calibri"/>
        <family val="2"/>
        <scheme val="minor"/>
      </rPr>
      <t xml:space="preserve"> = Opens up Run Macro dialog box.</t>
    </r>
  </si>
  <si>
    <r>
      <rPr>
        <b/>
        <sz val="11"/>
        <color theme="1"/>
        <rFont val="Calibri"/>
        <family val="2"/>
        <scheme val="minor"/>
      </rPr>
      <t>F9 </t>
    </r>
    <r>
      <rPr>
        <sz val="11"/>
        <color theme="1"/>
        <rFont val="Calibri"/>
        <family val="2"/>
        <scheme val="minor"/>
      </rPr>
      <t>= Evaluate Key = Calculates all worksheets in all open workbooks.</t>
    </r>
  </si>
  <si>
    <r>
      <rPr>
        <b/>
        <sz val="11"/>
        <color theme="1"/>
        <rFont val="Calibri"/>
        <family val="2"/>
        <scheme val="minor"/>
      </rPr>
      <t>F9</t>
    </r>
    <r>
      <rPr>
        <sz val="11"/>
        <color theme="1"/>
        <rFont val="Calibri"/>
        <family val="2"/>
        <scheme val="minor"/>
      </rPr>
      <t xml:space="preserve"> = When Cell is in Edit Mode and a Formula Element is selected, it will evaluate the Formula Element.</t>
    </r>
  </si>
  <si>
    <r>
      <rPr>
        <b/>
        <sz val="11"/>
        <color theme="1"/>
        <rFont val="Calibri"/>
        <family val="2"/>
        <scheme val="minor"/>
      </rPr>
      <t>Shift + F9</t>
    </r>
    <r>
      <rPr>
        <sz val="11"/>
        <color theme="1"/>
        <rFont val="Calibri"/>
        <family val="2"/>
        <scheme val="minor"/>
      </rPr>
      <t xml:space="preserve"> = Calculates the active worksheet.</t>
    </r>
  </si>
  <si>
    <r>
      <rPr>
        <b/>
        <sz val="11"/>
        <color theme="1"/>
        <rFont val="Calibri"/>
        <family val="2"/>
        <scheme val="minor"/>
      </rPr>
      <t>Ctrl + Alt + F9</t>
    </r>
    <r>
      <rPr>
        <sz val="11"/>
        <color theme="1"/>
        <rFont val="Calibri"/>
        <family val="2"/>
        <scheme val="minor"/>
      </rPr>
      <t xml:space="preserve"> = Calculates all worksheets in all open workbooks, regardless of whether they have changed since the last calculation.</t>
    </r>
  </si>
  <si>
    <r>
      <rPr>
        <b/>
        <sz val="11"/>
        <color theme="1"/>
        <rFont val="Calibri"/>
        <family val="2"/>
        <scheme val="minor"/>
      </rPr>
      <t>F10</t>
    </r>
    <r>
      <rPr>
        <sz val="11"/>
        <color theme="1"/>
        <rFont val="Calibri"/>
        <family val="2"/>
        <scheme val="minor"/>
      </rPr>
      <t xml:space="preserve"> = Shows Alt Key Keyboard Screen Tips.</t>
    </r>
  </si>
  <si>
    <r>
      <rPr>
        <b/>
        <sz val="11"/>
        <color theme="1"/>
        <rFont val="Calibri"/>
        <family val="2"/>
        <scheme val="minor"/>
      </rPr>
      <t>F11</t>
    </r>
    <r>
      <rPr>
        <sz val="11"/>
        <color theme="1"/>
        <rFont val="Calibri"/>
        <family val="2"/>
        <scheme val="minor"/>
      </rPr>
      <t xml:space="preserve"> = Insert new Default Chart as a new Worksheet.</t>
    </r>
  </si>
  <si>
    <r>
      <rPr>
        <b/>
        <sz val="11"/>
        <color theme="1"/>
        <rFont val="Calibri"/>
        <family val="2"/>
        <scheme val="minor"/>
      </rPr>
      <t>Shift + F11</t>
    </r>
    <r>
      <rPr>
        <sz val="11"/>
        <color theme="1"/>
        <rFont val="Calibri"/>
        <family val="2"/>
        <scheme val="minor"/>
      </rPr>
      <t xml:space="preserve"> = Insert new Worksheet.</t>
    </r>
  </si>
  <si>
    <r>
      <rPr>
        <b/>
        <sz val="11"/>
        <color theme="1"/>
        <rFont val="Calibri"/>
        <family val="2"/>
        <scheme val="minor"/>
      </rPr>
      <t>Ctrl + F11</t>
    </r>
    <r>
      <rPr>
        <sz val="11"/>
        <color theme="1"/>
        <rFont val="Calibri"/>
        <family val="2"/>
        <scheme val="minor"/>
      </rPr>
      <t xml:space="preserve"> = Insert new Excel 4.0 Macro Worksheet.</t>
    </r>
  </si>
  <si>
    <r>
      <rPr>
        <b/>
        <sz val="11"/>
        <color theme="1"/>
        <rFont val="Calibri"/>
        <family val="2"/>
        <scheme val="minor"/>
      </rPr>
      <t>Alt + F11</t>
    </r>
    <r>
      <rPr>
        <sz val="11"/>
        <color theme="1"/>
        <rFont val="Calibri"/>
        <family val="2"/>
        <scheme val="minor"/>
      </rPr>
      <t xml:space="preserve"> = Opens VBA Editor Window.</t>
    </r>
  </si>
  <si>
    <r>
      <rPr>
        <b/>
        <sz val="11"/>
        <color theme="1"/>
        <rFont val="Calibri"/>
        <family val="2"/>
        <scheme val="minor"/>
      </rPr>
      <t>F12</t>
    </r>
    <r>
      <rPr>
        <sz val="11"/>
        <color theme="1"/>
        <rFont val="Calibri"/>
        <family val="2"/>
        <scheme val="minor"/>
      </rPr>
      <t xml:space="preserve"> = Opens Save As dialog box.</t>
    </r>
  </si>
  <si>
    <t>Data Types in Excel</t>
  </si>
  <si>
    <t>Default Alignment</t>
  </si>
  <si>
    <t>Example1</t>
  </si>
  <si>
    <t>Example2</t>
  </si>
  <si>
    <t>** In Excel Dates and Times are Numbers</t>
  </si>
  <si>
    <t>Text</t>
  </si>
  <si>
    <t>Left</t>
  </si>
  <si>
    <t>Numbers</t>
  </si>
  <si>
    <t>Right</t>
  </si>
  <si>
    <t>Logical/Boolean (TRUE or FALSE)</t>
  </si>
  <si>
    <t>Center and All CAPS</t>
  </si>
  <si>
    <t>Errors</t>
  </si>
  <si>
    <t>Center</t>
  </si>
  <si>
    <t>Empty Cells</t>
  </si>
  <si>
    <t xml:space="preserve">&lt;&lt;== Not really a Data Type, but it is a "thing" in Excel </t>
  </si>
  <si>
    <t>that can sometimes cause problems.</t>
  </si>
  <si>
    <t>Why is Default Alignment important:</t>
  </si>
  <si>
    <t>**Refer to Empty Cells as "Empty Cells", not blanks.</t>
  </si>
  <si>
    <r>
      <rPr>
        <b/>
        <sz val="11"/>
        <color theme="1"/>
        <rFont val="Calibri"/>
        <family val="2"/>
        <scheme val="minor"/>
      </rPr>
      <t>Answer:</t>
    </r>
    <r>
      <rPr>
        <sz val="11"/>
        <color theme="1"/>
        <rFont val="Calibri"/>
        <family val="2"/>
        <scheme val="minor"/>
      </rPr>
      <t xml:space="preserve"> It helps to track down errors.</t>
    </r>
  </si>
  <si>
    <r>
      <rPr>
        <b/>
        <sz val="11"/>
        <color theme="1"/>
        <rFont val="Calibri"/>
        <family val="2"/>
        <scheme val="minor"/>
      </rPr>
      <t>Example 1:</t>
    </r>
    <r>
      <rPr>
        <sz val="11"/>
        <color theme="1"/>
        <rFont val="Calibri"/>
        <family val="2"/>
        <scheme val="minor"/>
      </rPr>
      <t xml:space="preserve"> We download these numbers from company web site:</t>
    </r>
  </si>
  <si>
    <r>
      <rPr>
        <b/>
        <sz val="11"/>
        <color theme="1"/>
        <rFont val="Calibri"/>
        <family val="2"/>
        <scheme val="minor"/>
      </rPr>
      <t>Example 2:</t>
    </r>
    <r>
      <rPr>
        <sz val="11"/>
        <color theme="1"/>
        <rFont val="Calibri"/>
        <family val="2"/>
        <scheme val="minor"/>
      </rPr>
      <t xml:space="preserve"> We download these numbers from company database:</t>
    </r>
  </si>
  <si>
    <t xml:space="preserve"> &lt;&lt;== Excel sees these as Numbers</t>
  </si>
  <si>
    <t>326.82</t>
  </si>
  <si>
    <t xml:space="preserve"> &lt;&lt;== Excel sees these as Text</t>
  </si>
  <si>
    <t>446.39</t>
  </si>
  <si>
    <t>474.74</t>
  </si>
  <si>
    <t>233.21</t>
  </si>
  <si>
    <t>488.01</t>
  </si>
  <si>
    <t>*The immediate visual cue is that the numbers are NOT aligned right</t>
  </si>
  <si>
    <r>
      <rPr>
        <b/>
        <sz val="11"/>
        <color theme="1"/>
        <rFont val="Calibri"/>
        <family val="2"/>
        <scheme val="minor"/>
      </rPr>
      <t>Important Rule for entering data:</t>
    </r>
    <r>
      <rPr>
        <sz val="11"/>
        <color theme="1"/>
        <rFont val="Calibri"/>
        <family val="2"/>
        <scheme val="minor"/>
      </rPr>
      <t xml:space="preserve"> 1) Don't use Alignment. Always keep Default Alignment.</t>
    </r>
  </si>
  <si>
    <t>Common mistake made in the working world:</t>
  </si>
  <si>
    <t>Date</t>
  </si>
  <si>
    <t>Units Purchased</t>
  </si>
  <si>
    <t>Cost</t>
  </si>
  <si>
    <t>Units Sold</t>
  </si>
  <si>
    <t>Price</t>
  </si>
  <si>
    <t>Running Balance</t>
  </si>
  <si>
    <t>Balance Forward:</t>
  </si>
  <si>
    <t>144</t>
  </si>
  <si>
    <t>24</t>
  </si>
  <si>
    <t>SUM:</t>
  </si>
  <si>
    <t>43..69</t>
  </si>
  <si>
    <t>12/244/2022</t>
  </si>
  <si>
    <t>8:00:00AM</t>
  </si>
  <si>
    <t>1) Hold data</t>
  </si>
  <si>
    <t>2) Make calculations</t>
  </si>
  <si>
    <t>SalesRep</t>
  </si>
  <si>
    <t>Sales ($)</t>
  </si>
  <si>
    <t>Average Sale</t>
  </si>
  <si>
    <t>Chantel</t>
  </si>
  <si>
    <t>Tyrone</t>
  </si>
  <si>
    <t>3) Perform data analysis</t>
  </si>
  <si>
    <t>Jim</t>
  </si>
  <si>
    <t>Converting data into useful information to gain insight and make decisions</t>
  </si>
  <si>
    <t>Jo</t>
  </si>
  <si>
    <t>Report = all the detail</t>
  </si>
  <si>
    <t>Visualization = quick visual impression</t>
  </si>
  <si>
    <t>Month</t>
  </si>
  <si>
    <t>Total Sales ($)</t>
  </si>
  <si>
    <t>Jan</t>
  </si>
  <si>
    <t>Feb</t>
  </si>
  <si>
    <t>Mar</t>
  </si>
  <si>
    <t>Grand Total</t>
  </si>
  <si>
    <t>Report in a Table</t>
  </si>
  <si>
    <t>Chart for visualizing data</t>
  </si>
  <si>
    <r>
      <rPr>
        <b/>
        <sz val="11"/>
        <color theme="1"/>
        <rFont val="Calibri"/>
        <family val="2"/>
        <scheme val="minor"/>
      </rPr>
      <t>Goal 1:</t>
    </r>
    <r>
      <rPr>
        <sz val="11"/>
        <color theme="1"/>
        <rFont val="Calibri"/>
        <family val="2"/>
        <scheme val="minor"/>
      </rPr>
      <t xml:space="preserve"> Create monthly sales rep report</t>
    </r>
  </si>
  <si>
    <r>
      <rPr>
        <b/>
        <sz val="11"/>
        <color theme="1"/>
        <rFont val="Calibri"/>
        <family val="2"/>
        <scheme val="minor"/>
      </rPr>
      <t>Goal 2:</t>
    </r>
    <r>
      <rPr>
        <sz val="11"/>
        <color theme="1"/>
        <rFont val="Calibri"/>
        <family val="2"/>
        <scheme val="minor"/>
      </rPr>
      <t xml:space="preserve"> Visualize trends in month sales</t>
    </r>
  </si>
  <si>
    <t>Creating a monthly report with an Excel PivotTable:</t>
  </si>
  <si>
    <t>Apr</t>
  </si>
  <si>
    <t>May</t>
  </si>
  <si>
    <t>Jun</t>
  </si>
  <si>
    <t>Chantel Total</t>
  </si>
  <si>
    <t>Visualizing trends in sales data with an Excel Chart:</t>
  </si>
  <si>
    <t>Jim Total</t>
  </si>
  <si>
    <t>Jo Total</t>
  </si>
  <si>
    <t>Tyrone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</si>
</sst>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C09]#,##0.00"/>
    <numFmt numFmtId="165" formatCode="&quot;$&quot;#,##0.00"/>
  </numFmts>
  <fonts count="39">
    <font>
      <sz val="11"/>
      <color theme="1"/>
      <name val="Calibri"/>
      <family val="2"/>
      <scheme val="minor"/>
    </font>
    <font>
      <sz val="11"/>
      <color theme="1"/>
      <name val="Calibri"/>
      <family val="2"/>
      <scheme val="minor"/>
    </font>
    <font>
      <sz val="11"/>
      <color theme="1"/>
      <name val="Calibri"/>
      <family val="2"/>
    </font>
    <font>
      <b/>
      <sz val="14"/>
      <color theme="1"/>
      <name val="Segoe UI"/>
      <family val="2"/>
    </font>
    <font>
      <b/>
      <sz val="11"/>
      <color theme="1"/>
      <name val="Segoe UI"/>
      <family val="2"/>
    </font>
    <font>
      <b/>
      <sz val="13"/>
      <color theme="1"/>
      <name val="Calibri"/>
      <family val="2"/>
    </font>
    <font>
      <b/>
      <sz val="13"/>
      <color theme="0"/>
      <name val="Calibri"/>
      <family val="2"/>
    </font>
    <font>
      <sz val="11"/>
      <color theme="1"/>
      <name val="Segoe UI"/>
      <charset val="134"/>
    </font>
    <font>
      <b/>
      <sz val="11"/>
      <color theme="0"/>
      <name val="Segoe UI"/>
      <family val="2"/>
    </font>
    <font>
      <sz val="11"/>
      <color theme="1"/>
      <name val="Segoe UI"/>
      <family val="2"/>
    </font>
    <font>
      <sz val="11"/>
      <color theme="1"/>
      <name val="Wingdings"/>
      <charset val="2"/>
    </font>
    <font>
      <sz val="24"/>
      <color theme="1"/>
      <name val="Abadi"/>
      <family val="2"/>
    </font>
    <font>
      <sz val="24"/>
      <color theme="1"/>
      <name val="Wingdings"/>
      <charset val="2"/>
    </font>
    <font>
      <sz val="18"/>
      <color theme="1"/>
      <name val="Wingdings"/>
      <charset val="2"/>
    </font>
    <font>
      <sz val="11"/>
      <color theme="0"/>
      <name val="Calibri"/>
      <family val="2"/>
    </font>
    <font>
      <sz val="30"/>
      <color theme="1"/>
      <name val="Calibri"/>
      <family val="2"/>
    </font>
    <font>
      <sz val="30"/>
      <color theme="1"/>
      <name val="Wingdings"/>
      <charset val="2"/>
    </font>
    <font>
      <b/>
      <sz val="9"/>
      <name val="Tahoma"/>
      <family val="2"/>
    </font>
    <font>
      <sz val="9"/>
      <name val="Tahoma"/>
      <family val="2"/>
    </font>
    <font>
      <b/>
      <i/>
      <sz val="10"/>
      <name val="Arial"/>
      <family val="2"/>
    </font>
    <font>
      <sz val="10"/>
      <name val="Arial"/>
      <family val="2"/>
    </font>
    <font>
      <b/>
      <sz val="10"/>
      <name val="Arial"/>
      <family val="2"/>
    </font>
    <font>
      <sz val="14"/>
      <name val="Arial"/>
      <family val="2"/>
    </font>
    <font>
      <b/>
      <i/>
      <sz val="16"/>
      <name val="Arial"/>
      <family val="2"/>
    </font>
    <font>
      <b/>
      <sz val="11"/>
      <color theme="1"/>
      <name val="Segoe UI"/>
      <charset val="134"/>
    </font>
    <font>
      <b/>
      <sz val="11"/>
      <name val="Arial"/>
      <family val="2"/>
    </font>
    <font>
      <b/>
      <sz val="24"/>
      <color theme="1"/>
      <name val="Segoe UI"/>
      <family val="2"/>
    </font>
    <font>
      <b/>
      <sz val="24"/>
      <color theme="1"/>
      <name val="Segoe UI"/>
      <charset val="134"/>
    </font>
    <font>
      <b/>
      <sz val="11"/>
      <color theme="1"/>
      <name val="Calibri"/>
      <family val="2"/>
      <scheme val="minor"/>
    </font>
    <font>
      <sz val="10"/>
      <color rgb="FFFF0000"/>
      <name val="Arial"/>
      <family val="2"/>
    </font>
    <font>
      <b/>
      <sz val="22"/>
      <color theme="1"/>
      <name val="Calibri"/>
      <family val="2"/>
      <scheme val="minor"/>
    </font>
    <font>
      <b/>
      <sz val="16"/>
      <color theme="1"/>
      <name val="Calibri"/>
      <family val="2"/>
      <scheme val="minor"/>
    </font>
    <font>
      <sz val="16"/>
      <color theme="1"/>
      <name val="Calibri"/>
      <family val="2"/>
      <scheme val="minor"/>
    </font>
    <font>
      <sz val="11"/>
      <color theme="0"/>
      <name val="Calibri"/>
      <family val="2"/>
      <scheme val="minor"/>
    </font>
    <font>
      <sz val="14"/>
      <color theme="1"/>
      <name val="Calibri"/>
      <charset val="134"/>
      <scheme val="minor"/>
    </font>
    <font>
      <b/>
      <sz val="11"/>
      <color theme="0"/>
      <name val="Calibri"/>
      <family val="2"/>
      <scheme val="minor"/>
    </font>
    <font>
      <sz val="11"/>
      <color rgb="FFFF0000"/>
      <name val="Calibri"/>
      <family val="2"/>
      <scheme val="minor"/>
    </font>
    <font>
      <sz val="12"/>
      <color theme="0"/>
      <name val="Calibri"/>
      <family val="2"/>
      <scheme val="minor"/>
    </font>
    <font>
      <u/>
      <sz val="11"/>
      <color theme="1"/>
      <name val="Calibri"/>
      <family val="2"/>
      <scheme val="minor"/>
    </font>
  </fonts>
  <fills count="21">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theme="3" tint="0.39988402966399123"/>
        <bgColor indexed="64"/>
      </patternFill>
    </fill>
    <fill>
      <patternFill patternType="solid">
        <fgColor theme="8" tint="0.79989013336588644"/>
        <bgColor indexed="64"/>
      </patternFill>
    </fill>
    <fill>
      <patternFill patternType="solid">
        <fgColor theme="4" tint="0.39988402966399123"/>
        <bgColor indexed="64"/>
      </patternFill>
    </fill>
    <fill>
      <patternFill patternType="solid">
        <fgColor theme="4"/>
        <bgColor theme="4"/>
      </patternFill>
    </fill>
    <fill>
      <patternFill patternType="solid">
        <fgColor theme="9" tint="0.59999389629810485"/>
        <bgColor indexed="64"/>
      </patternFill>
    </fill>
    <fill>
      <patternFill patternType="solid">
        <fgColor rgb="FF0000FF"/>
        <bgColor indexed="64"/>
      </patternFill>
    </fill>
    <fill>
      <patternFill patternType="solid">
        <fgColor theme="9" tint="0.39988402966399123"/>
        <bgColor indexed="64"/>
      </patternFill>
    </fill>
    <fill>
      <patternFill patternType="solid">
        <fgColor rgb="FFFF0000"/>
        <bgColor indexed="64"/>
      </patternFill>
    </fill>
    <fill>
      <patternFill patternType="solid">
        <fgColor indexed="42"/>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0"/>
        <bgColor indexed="64"/>
      </patternFill>
    </fill>
    <fill>
      <patternFill patternType="solid">
        <fgColor rgb="FF002060"/>
        <bgColor indexed="64"/>
      </patternFill>
    </fill>
    <fill>
      <patternFill patternType="solid">
        <fgColor rgb="FFCCFFCC"/>
        <bgColor indexed="64"/>
      </patternFill>
    </fill>
    <fill>
      <patternFill patternType="solid">
        <fgColor theme="0" tint="-0.34998626667073579"/>
        <bgColor indexed="64"/>
      </patternFill>
    </fill>
    <fill>
      <patternFill patternType="solid">
        <fgColor theme="4" tint="0.79998168889431442"/>
        <bgColor theme="4" tint="0.79998168889431442"/>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ck">
        <color rgb="FFFF0000"/>
      </left>
      <right style="thick">
        <color rgb="FFFF0000"/>
      </right>
      <top style="thick">
        <color rgb="FFFF0000"/>
      </top>
      <bottom style="thick">
        <color rgb="FFFF000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5">
    <xf numFmtId="0" fontId="0" fillId="0" borderId="0"/>
    <xf numFmtId="0" fontId="1" fillId="0" borderId="0"/>
    <xf numFmtId="0" fontId="2" fillId="0" borderId="0"/>
    <xf numFmtId="0" fontId="7" fillId="0" borderId="0"/>
    <xf numFmtId="44" fontId="9" fillId="0" borderId="0" applyFont="0" applyFill="0" applyBorder="0" applyAlignment="0" applyProtection="0"/>
  </cellStyleXfs>
  <cellXfs count="117">
    <xf numFmtId="0" fontId="0" fillId="0" borderId="0" xfId="0"/>
    <xf numFmtId="0" fontId="1" fillId="0" borderId="0" xfId="1"/>
    <xf numFmtId="0" fontId="2" fillId="0" borderId="0" xfId="2"/>
    <xf numFmtId="0" fontId="4" fillId="2" borderId="1" xfId="2" applyFont="1" applyFill="1" applyBorder="1" applyAlignment="1">
      <alignment horizontal="center"/>
    </xf>
    <xf numFmtId="0" fontId="0" fillId="0" borderId="1" xfId="2" applyFont="1" applyBorder="1"/>
    <xf numFmtId="0" fontId="0" fillId="5" borderId="1" xfId="2" applyFont="1" applyFill="1" applyBorder="1"/>
    <xf numFmtId="0" fontId="7" fillId="6" borderId="2" xfId="3" applyFill="1" applyBorder="1"/>
    <xf numFmtId="0" fontId="8" fillId="7" borderId="1" xfId="2" applyFont="1" applyFill="1" applyBorder="1"/>
    <xf numFmtId="0" fontId="7" fillId="8" borderId="1" xfId="3" applyFill="1" applyBorder="1"/>
    <xf numFmtId="0" fontId="0" fillId="5" borderId="1" xfId="2" applyFont="1" applyFill="1" applyBorder="1" applyAlignment="1">
      <alignment wrapText="1"/>
    </xf>
    <xf numFmtId="0" fontId="0" fillId="0" borderId="0" xfId="2" applyFont="1"/>
    <xf numFmtId="44" fontId="2" fillId="0" borderId="0" xfId="4" applyFont="1"/>
    <xf numFmtId="0" fontId="7" fillId="6" borderId="1" xfId="3" applyFill="1" applyBorder="1"/>
    <xf numFmtId="0" fontId="7" fillId="0" borderId="0" xfId="3"/>
    <xf numFmtId="0" fontId="10" fillId="8" borderId="1" xfId="3" applyFont="1" applyFill="1" applyBorder="1"/>
    <xf numFmtId="0" fontId="11" fillId="0" borderId="0" xfId="2" applyFont="1"/>
    <xf numFmtId="0" fontId="12" fillId="0" borderId="0" xfId="2" applyFont="1"/>
    <xf numFmtId="0" fontId="13" fillId="0" borderId="0" xfId="2" applyFont="1"/>
    <xf numFmtId="0" fontId="7" fillId="0" borderId="3" xfId="3" applyBorder="1"/>
    <xf numFmtId="0" fontId="14" fillId="9" borderId="4" xfId="2" applyFont="1" applyFill="1" applyBorder="1"/>
    <xf numFmtId="0" fontId="15" fillId="0" borderId="4" xfId="2" applyFont="1" applyBorder="1"/>
    <xf numFmtId="0" fontId="16" fillId="0" borderId="4" xfId="2" applyFont="1" applyBorder="1"/>
    <xf numFmtId="0" fontId="0" fillId="10" borderId="1" xfId="2" applyFont="1" applyFill="1" applyBorder="1"/>
    <xf numFmtId="0" fontId="0" fillId="0" borderId="1" xfId="2" applyFont="1" applyBorder="1" applyAlignment="1">
      <alignment horizontal="center"/>
    </xf>
    <xf numFmtId="0" fontId="4" fillId="0" borderId="1" xfId="2" applyFont="1" applyBorder="1"/>
    <xf numFmtId="0" fontId="20" fillId="0" borderId="0" xfId="2" applyFont="1"/>
    <xf numFmtId="0" fontId="20" fillId="0" borderId="1" xfId="2" applyFont="1" applyBorder="1"/>
    <xf numFmtId="0" fontId="20" fillId="0" borderId="10" xfId="2" applyFont="1" applyBorder="1"/>
    <xf numFmtId="0" fontId="20" fillId="0" borderId="11" xfId="2" applyFont="1" applyBorder="1"/>
    <xf numFmtId="0" fontId="20" fillId="13" borderId="1" xfId="2" applyFont="1" applyFill="1" applyBorder="1"/>
    <xf numFmtId="0" fontId="20" fillId="13" borderId="10" xfId="2" applyFont="1" applyFill="1" applyBorder="1"/>
    <xf numFmtId="0" fontId="20" fillId="13" borderId="11" xfId="2" applyFont="1" applyFill="1" applyBorder="1"/>
    <xf numFmtId="0" fontId="21" fillId="14" borderId="11" xfId="2" applyFont="1" applyFill="1" applyBorder="1"/>
    <xf numFmtId="0" fontId="20" fillId="0" borderId="12" xfId="2" applyFont="1" applyBorder="1"/>
    <xf numFmtId="0" fontId="20" fillId="0" borderId="13" xfId="2" applyFont="1" applyBorder="1"/>
    <xf numFmtId="0" fontId="22" fillId="0" borderId="1" xfId="2" applyFont="1" applyBorder="1"/>
    <xf numFmtId="0" fontId="23" fillId="14" borderId="1" xfId="2" applyFont="1" applyFill="1" applyBorder="1"/>
    <xf numFmtId="0" fontId="23" fillId="0" borderId="1" xfId="2" applyFont="1" applyBorder="1"/>
    <xf numFmtId="0" fontId="20" fillId="14" borderId="1" xfId="2" applyFont="1" applyFill="1" applyBorder="1"/>
    <xf numFmtId="0" fontId="20" fillId="0" borderId="0" xfId="2" applyFont="1" applyAlignment="1">
      <alignment wrapText="1"/>
    </xf>
    <xf numFmtId="0" fontId="24" fillId="0" borderId="1" xfId="3" applyFont="1" applyBorder="1" applyAlignment="1">
      <alignment horizontal="center" vertical="center" wrapText="1"/>
    </xf>
    <xf numFmtId="0" fontId="20" fillId="15" borderId="10" xfId="2" applyFont="1" applyFill="1" applyBorder="1"/>
    <xf numFmtId="0" fontId="20" fillId="15" borderId="11" xfId="2" applyFont="1" applyFill="1" applyBorder="1"/>
    <xf numFmtId="0" fontId="7" fillId="0" borderId="1" xfId="3" applyBorder="1" applyAlignment="1">
      <alignment vertical="center" wrapText="1"/>
    </xf>
    <xf numFmtId="0" fontId="9" fillId="0" borderId="1" xfId="3" applyFont="1" applyBorder="1" applyAlignment="1">
      <alignment vertical="center" wrapText="1"/>
    </xf>
    <xf numFmtId="0" fontId="4" fillId="0" borderId="1" xfId="3" applyFont="1" applyBorder="1" applyAlignment="1">
      <alignment vertical="center" wrapText="1"/>
    </xf>
    <xf numFmtId="0" fontId="25" fillId="16" borderId="1" xfId="2" applyFont="1" applyFill="1" applyBorder="1"/>
    <xf numFmtId="0" fontId="23" fillId="16" borderId="1" xfId="2" applyFont="1" applyFill="1" applyBorder="1"/>
    <xf numFmtId="0" fontId="22" fillId="16" borderId="1" xfId="2" applyFont="1" applyFill="1" applyBorder="1"/>
    <xf numFmtId="0" fontId="20" fillId="16" borderId="0" xfId="2" applyFont="1" applyFill="1"/>
    <xf numFmtId="0" fontId="26" fillId="0" borderId="0" xfId="3" applyFont="1" applyAlignment="1">
      <alignment vertical="center"/>
    </xf>
    <xf numFmtId="0" fontId="4" fillId="0" borderId="1" xfId="3" applyFont="1" applyBorder="1" applyAlignment="1">
      <alignment horizontal="center" vertical="center" wrapText="1"/>
    </xf>
    <xf numFmtId="0" fontId="9" fillId="0" borderId="0" xfId="3" applyFont="1"/>
    <xf numFmtId="0" fontId="27" fillId="0" borderId="0" xfId="3" applyFont="1" applyAlignment="1">
      <alignment vertical="center"/>
    </xf>
    <xf numFmtId="0" fontId="7" fillId="0" borderId="0" xfId="3" applyAlignment="1">
      <alignment horizontal="left" vertical="center" indent="1"/>
    </xf>
    <xf numFmtId="0" fontId="30" fillId="0" borderId="0" xfId="0" applyFont="1"/>
    <xf numFmtId="0" fontId="0" fillId="0" borderId="1" xfId="0" applyBorder="1"/>
    <xf numFmtId="0" fontId="31" fillId="0" borderId="0" xfId="0" applyFont="1"/>
    <xf numFmtId="0" fontId="0" fillId="0" borderId="1" xfId="0" applyBorder="1" applyAlignment="1">
      <alignment vertical="center" wrapText="1"/>
    </xf>
    <xf numFmtId="0" fontId="28" fillId="0" borderId="0" xfId="0" applyFont="1"/>
    <xf numFmtId="0" fontId="28" fillId="0" borderId="1" xfId="0" applyFont="1" applyBorder="1"/>
    <xf numFmtId="0" fontId="31" fillId="0" borderId="1" xfId="0" applyFont="1" applyBorder="1"/>
    <xf numFmtId="0" fontId="32" fillId="0" borderId="1" xfId="0" applyFont="1" applyBorder="1" applyAlignment="1">
      <alignment vertical="center" wrapText="1"/>
    </xf>
    <xf numFmtId="0" fontId="32" fillId="0" borderId="1" xfId="0" applyFont="1" applyBorder="1" applyAlignment="1">
      <alignment horizontal="right" vertical="center" wrapText="1"/>
    </xf>
    <xf numFmtId="0" fontId="32" fillId="0" borderId="1" xfId="0" applyFont="1" applyBorder="1" applyAlignment="1">
      <alignment horizontal="center" vertical="center" wrapText="1"/>
    </xf>
    <xf numFmtId="0" fontId="34" fillId="0" borderId="0" xfId="0" applyFont="1"/>
    <xf numFmtId="0" fontId="33" fillId="17" borderId="1" xfId="0" applyFont="1" applyFill="1" applyBorder="1"/>
    <xf numFmtId="0" fontId="0" fillId="0" borderId="1" xfId="0" applyBorder="1" applyAlignment="1">
      <alignment wrapText="1"/>
    </xf>
    <xf numFmtId="0" fontId="0" fillId="0" borderId="1" xfId="0" applyBorder="1" applyAlignment="1">
      <alignment horizontal="left" indent="1"/>
    </xf>
    <xf numFmtId="0" fontId="37" fillId="17" borderId="1" xfId="0" applyFont="1" applyFill="1" applyBorder="1" applyAlignment="1">
      <alignment wrapText="1"/>
    </xf>
    <xf numFmtId="0" fontId="28" fillId="14" borderId="1" xfId="0" applyFont="1" applyFill="1" applyBorder="1"/>
    <xf numFmtId="164" fontId="0" fillId="0" borderId="1" xfId="0" applyNumberFormat="1" applyBorder="1"/>
    <xf numFmtId="165" fontId="0" fillId="18" borderId="1" xfId="0" applyNumberFormat="1" applyFill="1" applyBorder="1"/>
    <xf numFmtId="0" fontId="0" fillId="0" borderId="14" xfId="0" applyBorder="1"/>
    <xf numFmtId="0" fontId="0" fillId="0" borderId="14" xfId="0" applyBorder="1" applyAlignment="1">
      <alignment wrapText="1"/>
    </xf>
    <xf numFmtId="0" fontId="0" fillId="0" borderId="14" xfId="0" applyBorder="1" applyAlignment="1">
      <alignment vertical="center"/>
    </xf>
    <xf numFmtId="0" fontId="0" fillId="0" borderId="1" xfId="0" applyBorder="1" applyAlignment="1">
      <alignment vertical="center"/>
    </xf>
    <xf numFmtId="0" fontId="0" fillId="0" borderId="15" xfId="0" applyBorder="1" applyAlignment="1">
      <alignment vertical="center"/>
    </xf>
    <xf numFmtId="14" fontId="0" fillId="0" borderId="0" xfId="0" applyNumberFormat="1"/>
    <xf numFmtId="18" fontId="0" fillId="0" borderId="0" xfId="0" applyNumberFormat="1"/>
    <xf numFmtId="0" fontId="0" fillId="18" borderId="1" xfId="0" applyFill="1" applyBorder="1"/>
    <xf numFmtId="0" fontId="0" fillId="0" borderId="0" xfId="0" applyAlignment="1">
      <alignment horizontal="left" indent="4"/>
    </xf>
    <xf numFmtId="0" fontId="36" fillId="0" borderId="0" xfId="0" applyFont="1"/>
    <xf numFmtId="0" fontId="0" fillId="0" borderId="1" xfId="0" quotePrefix="1" applyBorder="1"/>
    <xf numFmtId="0" fontId="35" fillId="19" borderId="1" xfId="0" applyFont="1" applyFill="1" applyBorder="1"/>
    <xf numFmtId="14" fontId="0" fillId="0" borderId="1" xfId="0" applyNumberFormat="1" applyBorder="1"/>
    <xf numFmtId="8" fontId="0" fillId="0" borderId="1" xfId="0" applyNumberFormat="1" applyBorder="1"/>
    <xf numFmtId="8" fontId="0" fillId="18" borderId="1" xfId="0" applyNumberFormat="1" applyFill="1" applyBorder="1"/>
    <xf numFmtId="3" fontId="0" fillId="0" borderId="0" xfId="0" applyNumberFormat="1"/>
    <xf numFmtId="0" fontId="38" fillId="0" borderId="0" xfId="0" applyFont="1"/>
    <xf numFmtId="8" fontId="28" fillId="0" borderId="0" xfId="0" applyNumberFormat="1" applyFont="1" applyAlignment="1">
      <alignment horizontal="left"/>
    </xf>
    <xf numFmtId="0" fontId="35" fillId="17" borderId="1" xfId="0" applyFont="1" applyFill="1" applyBorder="1"/>
    <xf numFmtId="3" fontId="0" fillId="0" borderId="1" xfId="0" applyNumberFormat="1" applyBorder="1"/>
    <xf numFmtId="0" fontId="35" fillId="7" borderId="20" xfId="0" applyFont="1" applyFill="1" applyBorder="1"/>
    <xf numFmtId="0" fontId="35" fillId="7" borderId="19" xfId="0" applyFont="1" applyFill="1" applyBorder="1"/>
    <xf numFmtId="0" fontId="35" fillId="7" borderId="21" xfId="0" applyFont="1" applyFill="1" applyBorder="1"/>
    <xf numFmtId="14" fontId="0" fillId="20" borderId="20" xfId="0" applyNumberFormat="1" applyFill="1" applyBorder="1"/>
    <xf numFmtId="0" fontId="0" fillId="20" borderId="19" xfId="0" applyFill="1" applyBorder="1"/>
    <xf numFmtId="3" fontId="0" fillId="20" borderId="21" xfId="0" applyNumberFormat="1" applyFill="1" applyBorder="1"/>
    <xf numFmtId="14" fontId="0" fillId="0" borderId="20" xfId="0" applyNumberFormat="1" applyBorder="1"/>
    <xf numFmtId="0" fontId="0" fillId="0" borderId="19" xfId="0" applyBorder="1"/>
    <xf numFmtId="3" fontId="0" fillId="0" borderId="21" xfId="0" applyNumberFormat="1" applyBorder="1"/>
    <xf numFmtId="14" fontId="0" fillId="20" borderId="16" xfId="0" applyNumberFormat="1" applyFill="1" applyBorder="1"/>
    <xf numFmtId="0" fontId="0" fillId="20" borderId="17" xfId="0" applyFill="1" applyBorder="1"/>
    <xf numFmtId="3" fontId="0" fillId="20" borderId="18" xfId="0" applyNumberFormat="1" applyFill="1" applyBorder="1"/>
    <xf numFmtId="0" fontId="0" fillId="0" borderId="0" xfId="0" pivotButton="1"/>
    <xf numFmtId="0" fontId="3" fillId="2" borderId="1" xfId="2" applyFont="1" applyFill="1" applyBorder="1" applyAlignment="1">
      <alignment horizontal="center"/>
    </xf>
    <xf numFmtId="0" fontId="3" fillId="2" borderId="1" xfId="2" applyFont="1" applyFill="1" applyBorder="1" applyAlignment="1">
      <alignment horizontal="center" wrapText="1"/>
    </xf>
    <xf numFmtId="0" fontId="5" fillId="3" borderId="0" xfId="2" applyFont="1" applyFill="1" applyAlignment="1">
      <alignment horizontal="center"/>
    </xf>
    <xf numFmtId="0" fontId="6" fillId="4" borderId="0" xfId="2" applyFont="1" applyFill="1" applyAlignment="1">
      <alignment horizontal="center"/>
    </xf>
    <xf numFmtId="0" fontId="3" fillId="11" borderId="1" xfId="2" applyFont="1" applyFill="1" applyBorder="1" applyAlignment="1">
      <alignment horizontal="center"/>
    </xf>
    <xf numFmtId="0" fontId="4" fillId="11" borderId="5" xfId="2" applyFont="1" applyFill="1" applyBorder="1"/>
    <xf numFmtId="0" fontId="4" fillId="11" borderId="6" xfId="2" applyFont="1" applyFill="1" applyBorder="1"/>
    <xf numFmtId="0" fontId="19" fillId="12" borderId="7" xfId="2" applyFont="1" applyFill="1" applyBorder="1" applyAlignment="1">
      <alignment horizontal="center"/>
    </xf>
    <xf numFmtId="0" fontId="19" fillId="12" borderId="8" xfId="2" applyFont="1" applyFill="1" applyBorder="1" applyAlignment="1">
      <alignment horizontal="center"/>
    </xf>
    <xf numFmtId="0" fontId="21" fillId="12" borderId="1" xfId="2" applyFont="1" applyFill="1" applyBorder="1" applyAlignment="1">
      <alignment horizontal="center"/>
    </xf>
    <xf numFmtId="0" fontId="19" fillId="12" borderId="9" xfId="2" applyFont="1" applyFill="1" applyBorder="1" applyAlignment="1">
      <alignment horizontal="center"/>
    </xf>
  </cellXfs>
  <cellStyles count="5">
    <cellStyle name="Currency 2" xfId="4" xr:uid="{D86D91E0-B99C-4926-979F-4C4B6EA31E63}"/>
    <cellStyle name="Normal" xfId="0" builtinId="0"/>
    <cellStyle name="Normal 2" xfId="2" xr:uid="{BD20531E-C997-4BA2-89D0-2E9006F477DB}"/>
    <cellStyle name="Normal 3" xfId="3" xr:uid="{C2EC1884-6C0C-435C-928B-BD48A9A92A85}"/>
    <cellStyle name="Normal 7" xfId="1" xr:uid="{FE45114A-84C6-4D5D-8DC2-5695B4DE20EA}"/>
  </cellStyles>
  <dxfs count="6">
    <dxf>
      <numFmt numFmtId="166" formatCode=";;;"/>
    </dxf>
    <dxf>
      <numFmt numFmtId="3" formatCode="#,##0"/>
    </dxf>
    <dxf>
      <numFmt numFmtId="167" formatCode="m/d/yy"/>
    </dxf>
    <dxf>
      <font>
        <b/>
        <i val="0"/>
        <strike val="0"/>
        <condense val="0"/>
        <extend val="0"/>
        <outline val="0"/>
        <shadow val="0"/>
        <u val="none"/>
        <vertAlign val="baseline"/>
        <sz val="11"/>
        <color theme="1"/>
        <name val="Calibri"/>
        <family val="2"/>
        <scheme val="minor"/>
      </font>
    </dxf>
    <dxf>
      <font>
        <b val="0"/>
        <i val="0"/>
        <color theme="0"/>
      </font>
      <fill>
        <patternFill>
          <bgColor rgb="FF00B050"/>
        </patternFill>
      </fill>
    </dxf>
    <dxf>
      <font>
        <b val="0"/>
        <i val="0"/>
        <color theme="0"/>
      </font>
      <fill>
        <patternFill>
          <bgColor rgb="FF00B050"/>
        </patternFill>
      </fill>
    </dxf>
  </dxfs>
  <tableStyles count="0" defaultTableStyle="TableStyleMedium2" defaultPivotStyle="PivotStyleLight16"/>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5840332458442697E-2"/>
              <c:y val="-7.172462817147864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637158830941751E-2"/>
              <c:y val="5.109171543676868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637158830941751E-2"/>
              <c:y val="5.109171543676868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D14C-471F-9D97-F84C456668F4}"/>
              </c:ext>
            </c:extLst>
          </c:dPt>
          <c:dLbls>
            <c:dLbl>
              <c:idx val="4"/>
              <c:layout>
                <c:manualLayout>
                  <c:x val="-2.3637158830941751E-2"/>
                  <c:y val="5.10917154367686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4C-471F-9D97-F84C456668F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62629.599999999999</c:v>
              </c:pt>
              <c:pt idx="1">
                <c:v>68068.69</c:v>
              </c:pt>
              <c:pt idx="2">
                <c:v>58846.96</c:v>
              </c:pt>
              <c:pt idx="3">
                <c:v>112047.82999999999</c:v>
              </c:pt>
              <c:pt idx="4">
                <c:v>111955.33</c:v>
              </c:pt>
              <c:pt idx="5">
                <c:v>186718.56</c:v>
              </c:pt>
            </c:numLit>
          </c:val>
          <c:smooth val="0"/>
          <c:extLst>
            <c:ext xmlns:c16="http://schemas.microsoft.com/office/drawing/2014/chart" uri="{C3380CC4-5D6E-409C-BE32-E72D297353CC}">
              <c16:uniqueId val="{00000002-D14C-471F-9D97-F84C456668F4}"/>
            </c:ext>
          </c:extLst>
        </c:ser>
        <c:dLbls>
          <c:dLblPos val="t"/>
          <c:showLegendKey val="0"/>
          <c:showVal val="1"/>
          <c:showCatName val="0"/>
          <c:showSerName val="0"/>
          <c:showPercent val="0"/>
          <c:showBubbleSize val="0"/>
        </c:dLbls>
        <c:marker val="1"/>
        <c:smooth val="0"/>
        <c:axId val="1902751808"/>
        <c:axId val="1902755968"/>
      </c:lineChart>
      <c:catAx>
        <c:axId val="190275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55968"/>
        <c:crosses val="autoZero"/>
        <c:auto val="1"/>
        <c:lblAlgn val="ctr"/>
        <c:lblOffset val="100"/>
        <c:noMultiLvlLbl val="0"/>
      </c:catAx>
      <c:valAx>
        <c:axId val="1902755968"/>
        <c:scaling>
          <c:orientation val="minMax"/>
        </c:scaling>
        <c:delete val="1"/>
        <c:axPos val="l"/>
        <c:numFmt formatCode="General" sourceLinked="1"/>
        <c:majorTickMark val="none"/>
        <c:minorTickMark val="none"/>
        <c:tickLblPos val="nextTo"/>
        <c:crossAx val="190275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5840332458442697E-2"/>
              <c:y val="-7.172462817147864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637158830941751E-2"/>
              <c:y val="5.109171543676868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637158830941751E-2"/>
              <c:y val="5.109171543676868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A96D-4EAE-8F90-F967D3DF36CC}"/>
              </c:ext>
            </c:extLst>
          </c:dPt>
          <c:dLbls>
            <c:dLbl>
              <c:idx val="4"/>
              <c:layout>
                <c:manualLayout>
                  <c:x val="-2.3637158830941751E-2"/>
                  <c:y val="5.10917154367686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6D-4EAE-8F90-F967D3DF36CC}"/>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62629.599999999999</c:v>
              </c:pt>
              <c:pt idx="1">
                <c:v>68068.69</c:v>
              </c:pt>
              <c:pt idx="2">
                <c:v>58846.96</c:v>
              </c:pt>
              <c:pt idx="3">
                <c:v>112047.82999999999</c:v>
              </c:pt>
              <c:pt idx="4">
                <c:v>111955.33</c:v>
              </c:pt>
              <c:pt idx="5">
                <c:v>186718.56</c:v>
              </c:pt>
            </c:numLit>
          </c:val>
          <c:smooth val="0"/>
          <c:extLst>
            <c:ext xmlns:c16="http://schemas.microsoft.com/office/drawing/2014/chart" uri="{C3380CC4-5D6E-409C-BE32-E72D297353CC}">
              <c16:uniqueId val="{00000002-A96D-4EAE-8F90-F967D3DF36CC}"/>
            </c:ext>
          </c:extLst>
        </c:ser>
        <c:dLbls>
          <c:dLblPos val="t"/>
          <c:showLegendKey val="0"/>
          <c:showVal val="1"/>
          <c:showCatName val="0"/>
          <c:showSerName val="0"/>
          <c:showPercent val="0"/>
          <c:showBubbleSize val="0"/>
        </c:dLbls>
        <c:marker val="1"/>
        <c:smooth val="0"/>
        <c:axId val="1902751808"/>
        <c:axId val="1902755968"/>
      </c:lineChart>
      <c:catAx>
        <c:axId val="190275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55968"/>
        <c:crosses val="autoZero"/>
        <c:auto val="1"/>
        <c:lblAlgn val="ctr"/>
        <c:lblOffset val="100"/>
        <c:noMultiLvlLbl val="0"/>
      </c:catAx>
      <c:valAx>
        <c:axId val="1902755968"/>
        <c:scaling>
          <c:orientation val="minMax"/>
        </c:scaling>
        <c:delete val="1"/>
        <c:axPos val="l"/>
        <c:numFmt formatCode="General" sourceLinked="1"/>
        <c:majorTickMark val="none"/>
        <c:minorTickMark val="none"/>
        <c:tickLblPos val="nextTo"/>
        <c:crossAx val="190275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5840332458442697E-2"/>
              <c:y val="-7.172462817147864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637158830941751E-2"/>
              <c:y val="5.109171543676868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637158830941751E-2"/>
              <c:y val="5.109171543676868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E2D6-4D05-AF10-5ED5EE992B95}"/>
              </c:ext>
            </c:extLst>
          </c:dPt>
          <c:dLbls>
            <c:dLbl>
              <c:idx val="4"/>
              <c:layout>
                <c:manualLayout>
                  <c:x val="-2.3637158830941751E-2"/>
                  <c:y val="5.10917154367686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D6-4D05-AF10-5ED5EE992B9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62629.599999999999</c:v>
              </c:pt>
              <c:pt idx="1">
                <c:v>68068.69</c:v>
              </c:pt>
              <c:pt idx="2">
                <c:v>58846.96</c:v>
              </c:pt>
              <c:pt idx="3">
                <c:v>112047.82999999999</c:v>
              </c:pt>
              <c:pt idx="4">
                <c:v>111955.33</c:v>
              </c:pt>
              <c:pt idx="5">
                <c:v>186718.56</c:v>
              </c:pt>
            </c:numLit>
          </c:val>
          <c:smooth val="0"/>
          <c:extLst>
            <c:ext xmlns:c16="http://schemas.microsoft.com/office/drawing/2014/chart" uri="{C3380CC4-5D6E-409C-BE32-E72D297353CC}">
              <c16:uniqueId val="{00000002-E2D6-4D05-AF10-5ED5EE992B95}"/>
            </c:ext>
          </c:extLst>
        </c:ser>
        <c:dLbls>
          <c:dLblPos val="t"/>
          <c:showLegendKey val="0"/>
          <c:showVal val="1"/>
          <c:showCatName val="0"/>
          <c:showSerName val="0"/>
          <c:showPercent val="0"/>
          <c:showBubbleSize val="0"/>
        </c:dLbls>
        <c:marker val="1"/>
        <c:smooth val="0"/>
        <c:axId val="1902751808"/>
        <c:axId val="1902755968"/>
      </c:lineChart>
      <c:catAx>
        <c:axId val="190275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55968"/>
        <c:crosses val="autoZero"/>
        <c:auto val="1"/>
        <c:lblAlgn val="ctr"/>
        <c:lblOffset val="100"/>
        <c:noMultiLvlLbl val="0"/>
      </c:catAx>
      <c:valAx>
        <c:axId val="1902755968"/>
        <c:scaling>
          <c:orientation val="minMax"/>
        </c:scaling>
        <c:delete val="1"/>
        <c:axPos val="l"/>
        <c:numFmt formatCode="General" sourceLinked="1"/>
        <c:majorTickMark val="none"/>
        <c:minorTickMark val="none"/>
        <c:tickLblPos val="nextTo"/>
        <c:crossAx val="190275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9</xdr:col>
      <xdr:colOff>0</xdr:colOff>
      <xdr:row>16</xdr:row>
      <xdr:rowOff>19050</xdr:rowOff>
    </xdr:from>
    <xdr:to>
      <xdr:col>14</xdr:col>
      <xdr:colOff>96716</xdr:colOff>
      <xdr:row>28</xdr:row>
      <xdr:rowOff>96349</xdr:rowOff>
    </xdr:to>
    <xdr:graphicFrame macro="">
      <xdr:nvGraphicFramePr>
        <xdr:cNvPr id="2" name="Chart 1">
          <a:extLst>
            <a:ext uri="{FF2B5EF4-FFF2-40B4-BE49-F238E27FC236}">
              <a16:creationId xmlns:a16="http://schemas.microsoft.com/office/drawing/2014/main" id="{BC29F600-D47A-4D26-A054-7A1F36478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685800</xdr:colOff>
      <xdr:row>7</xdr:row>
      <xdr:rowOff>0</xdr:rowOff>
    </xdr:from>
    <xdr:to>
      <xdr:col>5</xdr:col>
      <xdr:colOff>76200</xdr:colOff>
      <xdr:row>17</xdr:row>
      <xdr:rowOff>95250</xdr:rowOff>
    </xdr:to>
    <xdr:sp macro="" textlink="">
      <xdr:nvSpPr>
        <xdr:cNvPr id="3" name="Arrow: Right 2">
          <a:extLst>
            <a:ext uri="{FF2B5EF4-FFF2-40B4-BE49-F238E27FC236}">
              <a16:creationId xmlns:a16="http://schemas.microsoft.com/office/drawing/2014/main" id="{D6AB4111-349A-4C43-A238-63A9FEEE2ED1}"/>
            </a:ext>
          </a:extLst>
        </xdr:cNvPr>
        <xdr:cNvSpPr/>
      </xdr:nvSpPr>
      <xdr:spPr>
        <a:xfrm>
          <a:off x="2495550" y="1289050"/>
          <a:ext cx="1905000" cy="1936750"/>
        </a:xfrm>
        <a:prstGeom prst="rightArrow">
          <a:avLst/>
        </a:prstGeom>
        <a:solidFill>
          <a:schemeClr val="bg1"/>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Data</a:t>
          </a:r>
          <a:r>
            <a:rPr lang="en-US" sz="1800" b="1" baseline="0">
              <a:solidFill>
                <a:schemeClr val="tx1"/>
              </a:solidFill>
            </a:rPr>
            <a:t> Into Information</a:t>
          </a:r>
        </a:p>
        <a:p>
          <a:pPr algn="ctr"/>
          <a:r>
            <a:rPr lang="en-US" sz="1800" b="1" baseline="0">
              <a:solidFill>
                <a:schemeClr val="tx1"/>
              </a:solidFill>
            </a:rPr>
            <a:t>to make decisions</a:t>
          </a:r>
          <a:endParaRPr lang="en-US" sz="1800" b="1">
            <a:solidFill>
              <a:schemeClr val="tx1"/>
            </a:solidFill>
          </a:endParaRPr>
        </a:p>
      </xdr:txBody>
    </xdr:sp>
    <xdr:clientData/>
  </xdr:twoCellAnchor>
  <xdr:twoCellAnchor>
    <xdr:from>
      <xdr:col>27</xdr:col>
      <xdr:colOff>0</xdr:colOff>
      <xdr:row>17</xdr:row>
      <xdr:rowOff>0</xdr:rowOff>
    </xdr:from>
    <xdr:to>
      <xdr:col>32</xdr:col>
      <xdr:colOff>96716</xdr:colOff>
      <xdr:row>29</xdr:row>
      <xdr:rowOff>77299</xdr:rowOff>
    </xdr:to>
    <xdr:graphicFrame macro="">
      <xdr:nvGraphicFramePr>
        <xdr:cNvPr id="4" name="Chart 3">
          <a:extLst>
            <a:ext uri="{FF2B5EF4-FFF2-40B4-BE49-F238E27FC236}">
              <a16:creationId xmlns:a16="http://schemas.microsoft.com/office/drawing/2014/main" id="{5B2DB7AC-822E-498A-BCAD-8B048A951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942975</xdr:colOff>
      <xdr:row>7</xdr:row>
      <xdr:rowOff>0</xdr:rowOff>
    </xdr:from>
    <xdr:to>
      <xdr:col>23</xdr:col>
      <xdr:colOff>31750</xdr:colOff>
      <xdr:row>15</xdr:row>
      <xdr:rowOff>38100</xdr:rowOff>
    </xdr:to>
    <xdr:sp macro="" textlink="">
      <xdr:nvSpPr>
        <xdr:cNvPr id="5" name="Arrow: Right 4">
          <a:extLst>
            <a:ext uri="{FF2B5EF4-FFF2-40B4-BE49-F238E27FC236}">
              <a16:creationId xmlns:a16="http://schemas.microsoft.com/office/drawing/2014/main" id="{37E89FD9-2946-4DD9-966C-F16486DC63F1}"/>
            </a:ext>
          </a:extLst>
        </xdr:cNvPr>
        <xdr:cNvSpPr/>
      </xdr:nvSpPr>
      <xdr:spPr>
        <a:xfrm>
          <a:off x="17052925" y="1289050"/>
          <a:ext cx="2498725" cy="1511300"/>
        </a:xfrm>
        <a:prstGeom prst="rightArrow">
          <a:avLst/>
        </a:prstGeom>
        <a:solidFill>
          <a:schemeClr val="bg1"/>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Data</a:t>
          </a:r>
          <a:r>
            <a:rPr lang="en-US" sz="1800" b="1" baseline="0">
              <a:solidFill>
                <a:schemeClr val="tx1"/>
              </a:solidFill>
            </a:rPr>
            <a:t> Into Information</a:t>
          </a:r>
        </a:p>
        <a:p>
          <a:pPr algn="ctr"/>
          <a:r>
            <a:rPr lang="en-US" sz="1800" b="1" baseline="0">
              <a:solidFill>
                <a:schemeClr val="tx1"/>
              </a:solidFill>
            </a:rPr>
            <a:t>to make decisions</a:t>
          </a:r>
          <a:endParaRPr lang="en-US" sz="18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10</xdr:row>
      <xdr:rowOff>2001</xdr:rowOff>
    </xdr:from>
    <xdr:to>
      <xdr:col>13</xdr:col>
      <xdr:colOff>0</xdr:colOff>
      <xdr:row>20</xdr:row>
      <xdr:rowOff>0</xdr:rowOff>
    </xdr:to>
    <xdr:graphicFrame macro="">
      <xdr:nvGraphicFramePr>
        <xdr:cNvPr id="2" name="Chart 1">
          <a:extLst>
            <a:ext uri="{FF2B5EF4-FFF2-40B4-BE49-F238E27FC236}">
              <a16:creationId xmlns:a16="http://schemas.microsoft.com/office/drawing/2014/main" id="{706AB0F6-CCB9-4391-9125-51E3E3560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439615</xdr:colOff>
      <xdr:row>18</xdr:row>
      <xdr:rowOff>76200</xdr:rowOff>
    </xdr:from>
    <xdr:to>
      <xdr:col>5</xdr:col>
      <xdr:colOff>533400</xdr:colOff>
      <xdr:row>19</xdr:row>
      <xdr:rowOff>139211</xdr:rowOff>
    </xdr:to>
    <xdr:cxnSp macro="">
      <xdr:nvCxnSpPr>
        <xdr:cNvPr id="3" name="Straight Arrow Connector 2">
          <a:extLst>
            <a:ext uri="{FF2B5EF4-FFF2-40B4-BE49-F238E27FC236}">
              <a16:creationId xmlns:a16="http://schemas.microsoft.com/office/drawing/2014/main" id="{18CE9075-CABC-492D-9835-69418D7C5C28}"/>
            </a:ext>
          </a:extLst>
        </xdr:cNvPr>
        <xdr:cNvCxnSpPr/>
      </xdr:nvCxnSpPr>
      <xdr:spPr>
        <a:xfrm flipV="1">
          <a:off x="3116140" y="3581400"/>
          <a:ext cx="93785" cy="2535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219075</xdr:colOff>
      <xdr:row>20</xdr:row>
      <xdr:rowOff>28015</xdr:rowOff>
    </xdr:from>
    <xdr:to>
      <xdr:col>8</xdr:col>
      <xdr:colOff>336177</xdr:colOff>
      <xdr:row>21</xdr:row>
      <xdr:rowOff>152400</xdr:rowOff>
    </xdr:to>
    <xdr:cxnSp macro="">
      <xdr:nvCxnSpPr>
        <xdr:cNvPr id="4" name="Straight Arrow Connector 3">
          <a:extLst>
            <a:ext uri="{FF2B5EF4-FFF2-40B4-BE49-F238E27FC236}">
              <a16:creationId xmlns:a16="http://schemas.microsoft.com/office/drawing/2014/main" id="{E7A1F93E-B00C-49C2-AE5F-D9FEE3E016D7}"/>
            </a:ext>
          </a:extLst>
        </xdr:cNvPr>
        <xdr:cNvCxnSpPr/>
      </xdr:nvCxnSpPr>
      <xdr:spPr>
        <a:xfrm flipV="1">
          <a:off x="6324600" y="3914215"/>
          <a:ext cx="117102" cy="3148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0058400" cy="5600065"/>
    <xdr:pic>
      <xdr:nvPicPr>
        <xdr:cNvPr id="2" name="Picture 1">
          <a:extLst>
            <a:ext uri="{FF2B5EF4-FFF2-40B4-BE49-F238E27FC236}">
              <a16:creationId xmlns:a16="http://schemas.microsoft.com/office/drawing/2014/main" id="{1094A5DE-AEEB-458F-A4F1-C5A89FC12D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058400" cy="560006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4</xdr:col>
      <xdr:colOff>70757</xdr:colOff>
      <xdr:row>14</xdr:row>
      <xdr:rowOff>125186</xdr:rowOff>
    </xdr:from>
    <xdr:to>
      <xdr:col>5</xdr:col>
      <xdr:colOff>555172</xdr:colOff>
      <xdr:row>20</xdr:row>
      <xdr:rowOff>23012</xdr:rowOff>
    </xdr:to>
    <xdr:cxnSp macro="">
      <xdr:nvCxnSpPr>
        <xdr:cNvPr id="2" name="Straight Arrow Connector 1">
          <a:extLst>
            <a:ext uri="{FF2B5EF4-FFF2-40B4-BE49-F238E27FC236}">
              <a16:creationId xmlns:a16="http://schemas.microsoft.com/office/drawing/2014/main" id="{76A1F944-53A2-4F84-9F98-B91F7D0B3F3A}"/>
            </a:ext>
          </a:extLst>
        </xdr:cNvPr>
        <xdr:cNvCxnSpPr/>
      </xdr:nvCxnSpPr>
      <xdr:spPr>
        <a:xfrm flipV="1">
          <a:off x="3595007" y="2896961"/>
          <a:ext cx="1332140" cy="10408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140805</xdr:colOff>
      <xdr:row>1</xdr:row>
      <xdr:rowOff>24848</xdr:rowOff>
    </xdr:from>
    <xdr:to>
      <xdr:col>5</xdr:col>
      <xdr:colOff>1956103</xdr:colOff>
      <xdr:row>14</xdr:row>
      <xdr:rowOff>108668</xdr:rowOff>
    </xdr:to>
    <xdr:pic>
      <xdr:nvPicPr>
        <xdr:cNvPr id="2" name="Picture 1" descr="A close up of a computer keyboard&#10;&#10;Description automatically generated">
          <a:extLst>
            <a:ext uri="{FF2B5EF4-FFF2-40B4-BE49-F238E27FC236}">
              <a16:creationId xmlns:a16="http://schemas.microsoft.com/office/drawing/2014/main" id="{95AA2E19-C468-49C3-87AB-930C84FCCED7}"/>
            </a:ext>
          </a:extLst>
        </xdr:cNvPr>
        <xdr:cNvPicPr>
          <a:picLocks noChangeAspect="1"/>
        </xdr:cNvPicPr>
      </xdr:nvPicPr>
      <xdr:blipFill>
        <a:blip xmlns:r="http://schemas.openxmlformats.org/officeDocument/2006/relationships" r:embed="rId1"/>
        <a:stretch>
          <a:fillRect/>
        </a:stretch>
      </xdr:blipFill>
      <xdr:spPr>
        <a:xfrm>
          <a:off x="140805" y="215348"/>
          <a:ext cx="5472898" cy="2560320"/>
        </a:xfrm>
        <a:prstGeom prst="rect">
          <a:avLst/>
        </a:prstGeom>
        <a:ln w="12700">
          <a:solidFill>
            <a:schemeClr val="tx1"/>
          </a:solidFill>
        </a:ln>
      </xdr:spPr>
    </xdr:pic>
    <xdr:clientData/>
  </xdr:twoCellAnchor>
  <xdr:twoCellAnchor editAs="oneCell">
    <xdr:from>
      <xdr:col>0</xdr:col>
      <xdr:colOff>207066</xdr:colOff>
      <xdr:row>16</xdr:row>
      <xdr:rowOff>33130</xdr:rowOff>
    </xdr:from>
    <xdr:to>
      <xdr:col>5</xdr:col>
      <xdr:colOff>3504930</xdr:colOff>
      <xdr:row>29</xdr:row>
      <xdr:rowOff>182217</xdr:rowOff>
    </xdr:to>
    <xdr:pic>
      <xdr:nvPicPr>
        <xdr:cNvPr id="3" name="Picture 2" descr="A close up of a computer keyboard&#10;&#10;Description automatically generated">
          <a:extLst>
            <a:ext uri="{FF2B5EF4-FFF2-40B4-BE49-F238E27FC236}">
              <a16:creationId xmlns:a16="http://schemas.microsoft.com/office/drawing/2014/main" id="{AE4FD3BC-DD3C-47FC-81A6-1B4CBE0ECA9A}"/>
            </a:ext>
          </a:extLst>
        </xdr:cNvPr>
        <xdr:cNvPicPr>
          <a:picLocks noChangeAspect="1"/>
        </xdr:cNvPicPr>
      </xdr:nvPicPr>
      <xdr:blipFill>
        <a:blip xmlns:r="http://schemas.openxmlformats.org/officeDocument/2006/relationships" r:embed="rId2"/>
        <a:stretch>
          <a:fillRect/>
        </a:stretch>
      </xdr:blipFill>
      <xdr:spPr>
        <a:xfrm>
          <a:off x="207066" y="3081130"/>
          <a:ext cx="6955464" cy="2625587"/>
        </a:xfrm>
        <a:prstGeom prst="rect">
          <a:avLst/>
        </a:prstGeom>
        <a:ln w="12700">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P/Desktop/Excel_Session_3.xlsx" TargetMode="External"/><Relationship Id="rId1" Type="http://schemas.openxmlformats.org/officeDocument/2006/relationships/externalLinkPath" Target="/Users/HP/Desktop/Excel_Session_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Desktop/Data%20analysis/EXCEL/13%20Advanced%20Excel%20Class%20File%20-%20Day%2013-%20Batch%203040%20-%20%20Sep%2014th%20Batch%20-%20Karthik%20Dale.xlsx" TargetMode="External"/><Relationship Id="rId1" Type="http://schemas.openxmlformats.org/officeDocument/2006/relationships/externalLinkPath" Target="/Users/USER/Desktop/Data%20analysis/EXCEL/13%20Advanced%20Excel%20Class%20File%20-%20Day%2013-%20Batch%203040%20-%20%20Sep%2014th%20Batch%20-%20Karthik%20Dal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P/Desktop/9781509305889_OnlineFiles/Online%20Files/Templates/Chapter%2012%20Templates/Ifstatementtemp.xlsx" TargetMode="External"/><Relationship Id="rId1" Type="http://schemas.openxmlformats.org/officeDocument/2006/relationships/externalLinkPath" Target="/Users/HP/Desktop/9781509305889_OnlineFiles/Online%20Files/Templates/Chapter%2012%20Templates/Ifstatementtemp.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ata%20Analyst\EXCLE\Session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2"/>
      <sheetName val="Sheet1"/>
      <sheetName val="Vlookup_Reference"/>
      <sheetName val="Index"/>
      <sheetName val="Index_Match"/>
      <sheetName val="Xlookup_Xmatch"/>
      <sheetName val="Vlookup"/>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art"/>
      <sheetName val="Data Types "/>
      <sheetName val="Flash Fill"/>
      <sheetName val="Fill Series"/>
      <sheetName val="Number Format"/>
      <sheetName val="Conditional Formatting"/>
      <sheetName val="Shortcuts"/>
      <sheetName val="Format as Table"/>
      <sheetName val="Excel file Formats"/>
      <sheetName val="Goto Special"/>
      <sheetName val="The 3 Freezing Techniques"/>
      <sheetName val="Formulas_Text"/>
      <sheetName val="Formulas_Text Prac"/>
      <sheetName val="Logical Functions"/>
      <sheetName val="SUMIFS_Countifs_Averageifs"/>
      <sheetName val="The Most Popular Formula"/>
      <sheetName val="Destination Sheet"/>
      <sheetName val="Index Formula"/>
      <sheetName val="Math Formulas"/>
      <sheetName val="Aggregate"/>
      <sheetName val="EMI Calculator"/>
      <sheetName val="Statistical Functions"/>
      <sheetName val="Information Functions"/>
      <sheetName val="Excel New Formulas"/>
      <sheetName val="Named Range"/>
      <sheetName val="Data Ribbon 1"/>
      <sheetName val="Data Ribbon 2"/>
      <sheetName val="Text to Columns"/>
      <sheetName val="Remove Duplicates"/>
      <sheetName val="Grouping &amp; Subtotals"/>
      <sheetName val="Insert Ribbon"/>
      <sheetName val="Review Ribbon"/>
      <sheetName val="Table1"/>
      <sheetName val="Power Query"/>
      <sheetName val="Query_SalesData"/>
      <sheetName val="PQ DataSet"/>
      <sheetName val="Date &amp; Time Fun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edging"/>
      <sheetName val="Craps"/>
      <sheetName val="Quantity Discount"/>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f"/>
      <sheetName val="Craps"/>
      <sheetName val="Nested_If_If_And_OR_Revision"/>
      <sheetName val="Vlookup"/>
      <sheetName val="Sheet3"/>
    </sheetNames>
    <sheetDataSet>
      <sheetData sheetId="0" refreshError="1"/>
      <sheetData sheetId="1" refreshError="1"/>
      <sheetData sheetId="2" refreshError="1"/>
      <sheetData sheetId="3" refreshError="1"/>
      <sheetData sheetId="4"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F:\00VideoClassStorage\218\01-218-M365\Content\Video02\Downloads\02-M365ExcelClas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Anudip/Downloads/01-M365ExcelClass.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Anudip/Downloads/01-M365ExcelClass.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Users/Aachal/Downloads/01-M365ExcelClass.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Users/Aachal/Downloads/01-M365ExcelClass.xlsx" TargetMode="External"/><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4743.434928356481" createdVersion="8" refreshedVersion="8" minRefreshableVersion="3" recordCount="75" xr:uid="{C5B0F5BB-566F-4825-AD8E-C7E865A85C13}">
  <cacheSource type="worksheet">
    <worksheetSource name="fSalesAN" r:id="rId2"/>
  </cacheSource>
  <cacheFields count="5">
    <cacheField name="Date" numFmtId="14">
      <sharedItems containsSemiMixedTypes="0" containsNonDate="0" containsDate="1" containsString="0" minDate="2023-01-05T00:00:00" maxDate="2023-06-27T00:00:00" count="105">
        <d v="2023-01-05T00:00:00"/>
        <d v="2023-01-06T00:00:00"/>
        <d v="2023-01-08T00:00:00"/>
        <d v="2023-01-11T00:00:00"/>
        <d v="2023-01-13T00:00:00"/>
        <d v="2023-01-14T00:00:00"/>
        <d v="2023-01-15T00:00:00"/>
        <d v="2023-01-17T00:00:00"/>
        <d v="2023-01-21T00:00:00"/>
        <d v="2023-01-22T00:00:00"/>
        <d v="2023-01-23T00:00:00"/>
        <d v="2023-01-25T00:00:00"/>
        <d v="2023-01-26T00:00:00"/>
        <d v="2023-01-27T00:00:00"/>
        <d v="2023-01-29T00:00:00"/>
        <d v="2023-01-30T00:00:00"/>
        <d v="2023-02-01T00:00:00"/>
        <d v="2023-02-02T00:00:00"/>
        <d v="2023-02-03T00:00:00"/>
        <d v="2023-02-05T00:00:00"/>
        <d v="2023-02-07T00:00:00"/>
        <d v="2023-02-08T00:00:00"/>
        <d v="2023-02-09T00:00:00"/>
        <d v="2023-02-12T00:00:00"/>
        <d v="2023-02-13T00:00:00"/>
        <d v="2023-02-14T00:00:00"/>
        <d v="2023-02-15T00:00:00"/>
        <d v="2023-02-16T00:00:00"/>
        <d v="2023-02-22T00:00:00"/>
        <d v="2023-02-23T00:00:00"/>
        <d v="2023-02-24T00:00:00"/>
        <d v="2023-02-25T00:00:00"/>
        <d v="2023-03-01T00:00:00"/>
        <d v="2023-03-02T00:00:00"/>
        <d v="2023-03-05T00:00:00"/>
        <d v="2023-03-08T00:00:00"/>
        <d v="2023-03-09T00:00:00"/>
        <d v="2023-03-12T00:00:00"/>
        <d v="2023-03-13T00:00:00"/>
        <d v="2023-03-14T00:00:00"/>
        <d v="2023-03-15T00:00:00"/>
        <d v="2023-03-16T00:00:00"/>
        <d v="2023-03-19T00:00:00"/>
        <d v="2023-03-24T00:00:00"/>
        <d v="2023-03-26T00:00:00"/>
        <d v="2023-03-27T00:00:00"/>
        <d v="2023-03-28T00:00:00"/>
        <d v="2023-03-29T00:00:00"/>
        <d v="2023-04-20T00:00:00" u="1"/>
        <d v="2023-04-16T00:00:00" u="1"/>
        <d v="2023-04-08T00:00:00" u="1"/>
        <d v="2023-06-25T00:00:00" u="1"/>
        <d v="2023-04-04T00:00:00" u="1"/>
        <d v="2023-06-17T00:00:00" u="1"/>
        <d v="2023-05-28T00:00:00" u="1"/>
        <d v="2023-06-09T00:00:00" u="1"/>
        <d v="2023-05-24T00:00:00" u="1"/>
        <d v="2023-06-05T00:00:00" u="1"/>
        <d v="2023-06-01T00:00:00" u="1"/>
        <d v="2023-05-12T00:00:00" u="1"/>
        <d v="2023-05-04T00:00:00" u="1"/>
        <d v="2023-04-19T00:00:00" u="1"/>
        <d v="2023-04-15T00:00:00" u="1"/>
        <d v="2023-04-11T00:00:00" u="1"/>
        <d v="2023-04-07T00:00:00" u="1"/>
        <d v="2023-04-03T00:00:00" u="1"/>
        <d v="2023-06-20T00:00:00" u="1"/>
        <d v="2023-06-16T00:00:00" u="1"/>
        <d v="2023-05-31T00:00:00" u="1"/>
        <d v="2023-06-12T00:00:00" u="1"/>
        <d v="2023-05-27T00:00:00" u="1"/>
        <d v="2023-06-08T00:00:00" u="1"/>
        <d v="2023-05-23T00:00:00" u="1"/>
        <d v="2023-06-04T00:00:00" u="1"/>
        <d v="2023-04-30T00:00:00" u="1"/>
        <d v="2023-05-11T00:00:00" u="1"/>
        <d v="2023-04-22T00:00:00" u="1"/>
        <d v="2023-05-03T00:00:00" u="1"/>
        <d v="2023-04-18T00:00:00" u="1"/>
        <d v="2023-04-06T00:00:00" u="1"/>
        <d v="2023-06-23T00:00:00" u="1"/>
        <d v="2023-04-02T00:00:00" u="1"/>
        <d v="2023-05-30T00:00:00" u="1"/>
        <d v="2023-05-26T00:00:00" u="1"/>
        <d v="2023-06-07T00:00:00" u="1"/>
        <d v="2023-05-22T00:00:00" u="1"/>
        <d v="2023-06-03T00:00:00" u="1"/>
        <d v="2023-05-18T00:00:00" u="1"/>
        <d v="2023-04-29T00:00:00" u="1"/>
        <d v="2023-05-10T00:00:00" u="1"/>
        <d v="2023-04-25T00:00:00" u="1"/>
        <d v="2023-04-17T00:00:00" u="1"/>
        <d v="2023-04-09T00:00:00" u="1"/>
        <d v="2023-06-26T00:00:00" u="1"/>
        <d v="2023-04-01T00:00:00" u="1"/>
        <d v="2023-06-18T00:00:00" u="1"/>
        <d v="2023-06-14T00:00:00" u="1"/>
        <d v="2023-05-29T00:00:00" u="1"/>
        <d v="2023-06-10T00:00:00" u="1"/>
        <d v="2023-05-25T00:00:00" u="1"/>
        <d v="2023-06-02T00:00:00" u="1"/>
        <d v="2023-05-17T00:00:00" u="1"/>
        <d v="2023-05-13T00:00:00" u="1"/>
        <d v="2023-04-28T00:00:00" u="1"/>
        <d v="2023-05-09T00:00:00" u="1"/>
      </sharedItems>
      <fieldGroup par="4"/>
    </cacheField>
    <cacheField name="SalesRep" numFmtId="0">
      <sharedItems count="4">
        <s v="Jim"/>
        <s v="Chantel"/>
        <s v="Tyrone"/>
        <s v="Jo"/>
      </sharedItems>
    </cacheField>
    <cacheField name="Sales ($)" numFmtId="3">
      <sharedItems containsSemiMixedTypes="0" containsString="0" containsNumber="1" minValue="43.43" maxValue="4828.54"/>
    </cacheField>
    <cacheField name="Days (Date)" numFmtId="0" databaseField="0">
      <fieldGroup base="0">
        <rangePr groupBy="days" startDate="2023-01-05T00:00:00" endDate="2023-03-30T00:00:00"/>
        <groupItems count="368">
          <s v="&lt;1/5/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3"/>
        </groupItems>
      </fieldGroup>
    </cacheField>
    <cacheField name="Months (Date)" numFmtId="0" databaseField="0">
      <fieldGroup base="0">
        <rangePr groupBy="months" startDate="2023-01-05T00:00:00" endDate="2023-03-30T00:00:00"/>
        <groupItems count="14">
          <s v="&lt;1/5/23"/>
          <s v="Jan"/>
          <s v="Feb"/>
          <s v="Mar"/>
          <s v="Apr"/>
          <s v="May"/>
          <s v="Jun"/>
          <s v="Jul"/>
          <s v="Aug"/>
          <s v="Sep"/>
          <s v="Oct"/>
          <s v="Nov"/>
          <s v="Dec"/>
          <s v="&gt;3/3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4943.48652175926" createdVersion="8" refreshedVersion="8" minRefreshableVersion="3" recordCount="164" xr:uid="{166D29DF-AAB5-49BB-8D89-3A583C88ECCF}">
  <cacheSource type="worksheet">
    <worksheetSource ref="B6:D170" sheet="Data Analysis" r:id="rId2"/>
  </cacheSource>
  <cacheFields count="5">
    <cacheField name="Date" numFmtId="14">
      <sharedItems containsSemiMixedTypes="0" containsNonDate="0" containsDate="1" containsString="0" minDate="2023-01-05T00:00:00" maxDate="2023-06-27T00:00:00" count="105">
        <d v="2023-01-05T00:00:00"/>
        <d v="2023-01-06T00:00:00"/>
        <d v="2023-01-08T00:00:00"/>
        <d v="2023-01-11T00:00:00"/>
        <d v="2023-01-13T00:00:00"/>
        <d v="2023-01-14T00:00:00"/>
        <d v="2023-01-15T00:00:00"/>
        <d v="2023-01-17T00:00:00"/>
        <d v="2023-01-21T00:00:00"/>
        <d v="2023-01-22T00:00:00"/>
        <d v="2023-01-23T00:00:00"/>
        <d v="2023-01-25T00:00:00"/>
        <d v="2023-01-26T00:00:00"/>
        <d v="2023-01-27T00:00:00"/>
        <d v="2023-01-29T00:00:00"/>
        <d v="2023-01-30T00:00:00"/>
        <d v="2023-02-01T00:00:00"/>
        <d v="2023-02-02T00:00:00"/>
        <d v="2023-02-03T00:00:00"/>
        <d v="2023-02-05T00:00:00"/>
        <d v="2023-02-07T00:00:00"/>
        <d v="2023-02-08T00:00:00"/>
        <d v="2023-02-09T00:00:00"/>
        <d v="2023-02-12T00:00:00"/>
        <d v="2023-02-13T00:00:00"/>
        <d v="2023-02-14T00:00:00"/>
        <d v="2023-02-15T00:00:00"/>
        <d v="2023-02-16T00:00:00"/>
        <d v="2023-02-22T00:00:00"/>
        <d v="2023-02-23T00:00:00"/>
        <d v="2023-02-24T00:00:00"/>
        <d v="2023-02-25T00:00:00"/>
        <d v="2023-03-01T00:00:00"/>
        <d v="2023-03-02T00:00:00"/>
        <d v="2023-03-05T00:00:00"/>
        <d v="2023-03-08T00:00:00"/>
        <d v="2023-03-09T00:00:00"/>
        <d v="2023-03-12T00:00:00"/>
        <d v="2023-03-13T00:00:00"/>
        <d v="2023-03-14T00:00:00"/>
        <d v="2023-03-15T00:00:00"/>
        <d v="2023-03-16T00:00:00"/>
        <d v="2023-03-19T00:00:00"/>
        <d v="2023-03-24T00:00:00"/>
        <d v="2023-03-26T00:00:00"/>
        <d v="2023-03-27T00:00:00"/>
        <d v="2023-03-28T00:00:00"/>
        <d v="2023-03-29T00:00:00"/>
        <d v="2023-04-01T00:00:00"/>
        <d v="2023-04-02T00:00:00"/>
        <d v="2023-04-03T00:00:00"/>
        <d v="2023-04-04T00:00:00"/>
        <d v="2023-04-06T00:00:00"/>
        <d v="2023-04-07T00:00:00"/>
        <d v="2023-04-08T00:00:00"/>
        <d v="2023-04-09T00:00:00"/>
        <d v="2023-04-11T00:00:00"/>
        <d v="2023-04-15T00:00:00"/>
        <d v="2023-04-16T00:00:00"/>
        <d v="2023-04-17T00:00:00"/>
        <d v="2023-04-18T00:00:00"/>
        <d v="2023-04-19T00:00:00"/>
        <d v="2023-04-20T00:00:00"/>
        <d v="2023-04-22T00:00:00"/>
        <d v="2023-04-25T00:00:00"/>
        <d v="2023-04-28T00:00:00"/>
        <d v="2023-04-29T00:00:00"/>
        <d v="2023-04-30T00:00:00"/>
        <d v="2023-05-03T00:00:00"/>
        <d v="2023-05-04T00:00:00"/>
        <d v="2023-05-09T00:00:00"/>
        <d v="2023-05-10T00:00:00"/>
        <d v="2023-05-11T00:00:00"/>
        <d v="2023-05-12T00:00:00"/>
        <d v="2023-05-13T00:00:00"/>
        <d v="2023-05-17T00:00:00"/>
        <d v="2023-05-18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7T00:00:00"/>
        <d v="2023-06-08T00:00:00"/>
        <d v="2023-06-09T00:00:00"/>
        <d v="2023-06-10T00:00:00"/>
        <d v="2023-06-12T00:00:00"/>
        <d v="2023-06-14T00:00:00"/>
        <d v="2023-06-16T00:00:00"/>
        <d v="2023-06-17T00:00:00"/>
        <d v="2023-06-18T00:00:00"/>
        <d v="2023-06-20T00:00:00"/>
        <d v="2023-06-23T00:00:00"/>
        <d v="2023-06-25T00:00:00"/>
        <d v="2023-06-26T00:00:00"/>
      </sharedItems>
      <fieldGroup par="4"/>
    </cacheField>
    <cacheField name="SalesRep" numFmtId="0">
      <sharedItems count="4">
        <s v="Jim"/>
        <s v="Chantel"/>
        <s v="Tyrone"/>
        <s v="Jo"/>
      </sharedItems>
    </cacheField>
    <cacheField name="Sales ($)" numFmtId="3">
      <sharedItems containsSemiMixedTypes="0" containsString="0" containsNumber="1" minValue="43.43" maxValue="7737.13"/>
    </cacheField>
    <cacheField name="Days (Date)" numFmtId="0" databaseField="0">
      <fieldGroup base="0">
        <rangePr groupBy="days" startDate="2023-01-05T00:00:00" endDate="2023-06-27T00:00:00"/>
        <groupItems count="368">
          <s v="&lt;1/5/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7/23"/>
        </groupItems>
      </fieldGroup>
    </cacheField>
    <cacheField name="Months (Date)" numFmtId="0" databaseField="0">
      <fieldGroup base="0">
        <rangePr groupBy="months" startDate="2023-01-05T00:00:00" endDate="2023-06-27T00:00:00"/>
        <groupItems count="14">
          <s v="&lt;1/5/23"/>
          <s v="Jan"/>
          <s v="Feb"/>
          <s v="Mar"/>
          <s v="Apr"/>
          <s v="May"/>
          <s v="Jun"/>
          <s v="Jul"/>
          <s v="Aug"/>
          <s v="Sep"/>
          <s v="Oct"/>
          <s v="Nov"/>
          <s v="Dec"/>
          <s v="&gt;6/27/23"/>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4943.486876157411" createdVersion="8" refreshedVersion="8" minRefreshableVersion="3" recordCount="75" xr:uid="{83F21968-FCDA-4F32-8FE4-9C09260D636A}">
  <cacheSource type="worksheet">
    <worksheetSource ref="B6:D81" sheet="Data Analysis" r:id="rId2"/>
  </cacheSource>
  <cacheFields count="5">
    <cacheField name="Date" numFmtId="14">
      <sharedItems containsSemiMixedTypes="0" containsNonDate="0" containsDate="1" containsString="0" minDate="2023-01-05T00:00:00" maxDate="2023-03-30T00:00:00" count="48">
        <d v="2023-01-05T00:00:00"/>
        <d v="2023-01-06T00:00:00"/>
        <d v="2023-01-08T00:00:00"/>
        <d v="2023-01-11T00:00:00"/>
        <d v="2023-01-13T00:00:00"/>
        <d v="2023-01-14T00:00:00"/>
        <d v="2023-01-15T00:00:00"/>
        <d v="2023-01-17T00:00:00"/>
        <d v="2023-01-21T00:00:00"/>
        <d v="2023-01-22T00:00:00"/>
        <d v="2023-01-23T00:00:00"/>
        <d v="2023-01-25T00:00:00"/>
        <d v="2023-01-26T00:00:00"/>
        <d v="2023-01-27T00:00:00"/>
        <d v="2023-01-29T00:00:00"/>
        <d v="2023-01-30T00:00:00"/>
        <d v="2023-02-01T00:00:00"/>
        <d v="2023-02-02T00:00:00"/>
        <d v="2023-02-03T00:00:00"/>
        <d v="2023-02-05T00:00:00"/>
        <d v="2023-02-07T00:00:00"/>
        <d v="2023-02-08T00:00:00"/>
        <d v="2023-02-09T00:00:00"/>
        <d v="2023-02-12T00:00:00"/>
        <d v="2023-02-13T00:00:00"/>
        <d v="2023-02-14T00:00:00"/>
        <d v="2023-02-15T00:00:00"/>
        <d v="2023-02-16T00:00:00"/>
        <d v="2023-02-22T00:00:00"/>
        <d v="2023-02-23T00:00:00"/>
        <d v="2023-02-24T00:00:00"/>
        <d v="2023-02-25T00:00:00"/>
        <d v="2023-03-01T00:00:00"/>
        <d v="2023-03-02T00:00:00"/>
        <d v="2023-03-05T00:00:00"/>
        <d v="2023-03-08T00:00:00"/>
        <d v="2023-03-09T00:00:00"/>
        <d v="2023-03-12T00:00:00"/>
        <d v="2023-03-13T00:00:00"/>
        <d v="2023-03-14T00:00:00"/>
        <d v="2023-03-15T00:00:00"/>
        <d v="2023-03-16T00:00:00"/>
        <d v="2023-03-19T00:00:00"/>
        <d v="2023-03-24T00:00:00"/>
        <d v="2023-03-26T00:00:00"/>
        <d v="2023-03-27T00:00:00"/>
        <d v="2023-03-28T00:00:00"/>
        <d v="2023-03-29T00:00:00"/>
      </sharedItems>
      <fieldGroup par="4"/>
    </cacheField>
    <cacheField name="SalesRep" numFmtId="0">
      <sharedItems/>
    </cacheField>
    <cacheField name="Sales ($)" numFmtId="3">
      <sharedItems containsSemiMixedTypes="0" containsString="0" containsNumber="1" minValue="43.43" maxValue="4828.54"/>
    </cacheField>
    <cacheField name="Days (Date)" numFmtId="0" databaseField="0">
      <fieldGroup base="0">
        <rangePr groupBy="days" startDate="2023-01-05T00:00:00" endDate="2023-03-30T00:00:00"/>
        <groupItems count="368">
          <s v="&lt;1/5/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3"/>
        </groupItems>
      </fieldGroup>
    </cacheField>
    <cacheField name="Months (Date)" numFmtId="0" databaseField="0">
      <fieldGroup base="0">
        <rangePr groupBy="months" startDate="2023-01-05T00:00:00" endDate="2023-03-30T00:00:00"/>
        <groupItems count="14">
          <s v="&lt;1/5/23"/>
          <s v="Jan"/>
          <s v="Feb"/>
          <s v="Mar"/>
          <s v="Apr"/>
          <s v="May"/>
          <s v="Jun"/>
          <s v="Jul"/>
          <s v="Aug"/>
          <s v="Sep"/>
          <s v="Oct"/>
          <s v="Nov"/>
          <s v="Dec"/>
          <s v="&gt;3/30/23"/>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4943.48652175926" createdVersion="8" refreshedVersion="8" minRefreshableVersion="3" recordCount="164" xr:uid="{215FE402-A009-4413-92E4-6DCB1989DF50}">
  <cacheSource type="worksheet">
    <worksheetSource ref="B6:D170" sheet="Data Analysis" r:id="rId2"/>
  </cacheSource>
  <cacheFields count="5">
    <cacheField name="Date" numFmtId="14">
      <sharedItems containsSemiMixedTypes="0" containsNonDate="0" containsDate="1" containsString="0" minDate="2023-01-05T00:00:00" maxDate="2023-06-27T00:00:00" count="105">
        <d v="2023-01-05T00:00:00"/>
        <d v="2023-01-06T00:00:00"/>
        <d v="2023-01-08T00:00:00"/>
        <d v="2023-01-11T00:00:00"/>
        <d v="2023-01-13T00:00:00"/>
        <d v="2023-01-14T00:00:00"/>
        <d v="2023-01-15T00:00:00"/>
        <d v="2023-01-17T00:00:00"/>
        <d v="2023-01-21T00:00:00"/>
        <d v="2023-01-22T00:00:00"/>
        <d v="2023-01-23T00:00:00"/>
        <d v="2023-01-25T00:00:00"/>
        <d v="2023-01-26T00:00:00"/>
        <d v="2023-01-27T00:00:00"/>
        <d v="2023-01-29T00:00:00"/>
        <d v="2023-01-30T00:00:00"/>
        <d v="2023-02-01T00:00:00"/>
        <d v="2023-02-02T00:00:00"/>
        <d v="2023-02-03T00:00:00"/>
        <d v="2023-02-05T00:00:00"/>
        <d v="2023-02-07T00:00:00"/>
        <d v="2023-02-08T00:00:00"/>
        <d v="2023-02-09T00:00:00"/>
        <d v="2023-02-12T00:00:00"/>
        <d v="2023-02-13T00:00:00"/>
        <d v="2023-02-14T00:00:00"/>
        <d v="2023-02-15T00:00:00"/>
        <d v="2023-02-16T00:00:00"/>
        <d v="2023-02-22T00:00:00"/>
        <d v="2023-02-23T00:00:00"/>
        <d v="2023-02-24T00:00:00"/>
        <d v="2023-02-25T00:00:00"/>
        <d v="2023-03-01T00:00:00"/>
        <d v="2023-03-02T00:00:00"/>
        <d v="2023-03-05T00:00:00"/>
        <d v="2023-03-08T00:00:00"/>
        <d v="2023-03-09T00:00:00"/>
        <d v="2023-03-12T00:00:00"/>
        <d v="2023-03-13T00:00:00"/>
        <d v="2023-03-14T00:00:00"/>
        <d v="2023-03-15T00:00:00"/>
        <d v="2023-03-16T00:00:00"/>
        <d v="2023-03-19T00:00:00"/>
        <d v="2023-03-24T00:00:00"/>
        <d v="2023-03-26T00:00:00"/>
        <d v="2023-03-27T00:00:00"/>
        <d v="2023-03-28T00:00:00"/>
        <d v="2023-03-29T00:00:00"/>
        <d v="2023-04-01T00:00:00"/>
        <d v="2023-04-02T00:00:00"/>
        <d v="2023-04-03T00:00:00"/>
        <d v="2023-04-04T00:00:00"/>
        <d v="2023-04-06T00:00:00"/>
        <d v="2023-04-07T00:00:00"/>
        <d v="2023-04-08T00:00:00"/>
        <d v="2023-04-09T00:00:00"/>
        <d v="2023-04-11T00:00:00"/>
        <d v="2023-04-15T00:00:00"/>
        <d v="2023-04-16T00:00:00"/>
        <d v="2023-04-17T00:00:00"/>
        <d v="2023-04-18T00:00:00"/>
        <d v="2023-04-19T00:00:00"/>
        <d v="2023-04-20T00:00:00"/>
        <d v="2023-04-22T00:00:00"/>
        <d v="2023-04-25T00:00:00"/>
        <d v="2023-04-28T00:00:00"/>
        <d v="2023-04-29T00:00:00"/>
        <d v="2023-04-30T00:00:00"/>
        <d v="2023-05-03T00:00:00"/>
        <d v="2023-05-04T00:00:00"/>
        <d v="2023-05-09T00:00:00"/>
        <d v="2023-05-10T00:00:00"/>
        <d v="2023-05-11T00:00:00"/>
        <d v="2023-05-12T00:00:00"/>
        <d v="2023-05-13T00:00:00"/>
        <d v="2023-05-17T00:00:00"/>
        <d v="2023-05-18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7T00:00:00"/>
        <d v="2023-06-08T00:00:00"/>
        <d v="2023-06-09T00:00:00"/>
        <d v="2023-06-10T00:00:00"/>
        <d v="2023-06-12T00:00:00"/>
        <d v="2023-06-14T00:00:00"/>
        <d v="2023-06-16T00:00:00"/>
        <d v="2023-06-17T00:00:00"/>
        <d v="2023-06-18T00:00:00"/>
        <d v="2023-06-20T00:00:00"/>
        <d v="2023-06-23T00:00:00"/>
        <d v="2023-06-25T00:00:00"/>
        <d v="2023-06-26T00:00:00"/>
      </sharedItems>
      <fieldGroup par="4"/>
    </cacheField>
    <cacheField name="SalesRep" numFmtId="0">
      <sharedItems count="4">
        <s v="Jim"/>
        <s v="Chantel"/>
        <s v="Tyrone"/>
        <s v="Jo"/>
      </sharedItems>
    </cacheField>
    <cacheField name="Sales ($)" numFmtId="3">
      <sharedItems containsSemiMixedTypes="0" containsString="0" containsNumber="1" minValue="43.43" maxValue="7737.13"/>
    </cacheField>
    <cacheField name="Days (Date)" numFmtId="0" databaseField="0">
      <fieldGroup base="0">
        <rangePr groupBy="days" startDate="2023-01-05T00:00:00" endDate="2023-06-27T00:00:00"/>
        <groupItems count="368">
          <s v="&lt;1/5/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7/23"/>
        </groupItems>
      </fieldGroup>
    </cacheField>
    <cacheField name="Months (Date)" numFmtId="0" databaseField="0">
      <fieldGroup base="0">
        <rangePr groupBy="months" startDate="2023-01-05T00:00:00" endDate="2023-06-27T00:00:00"/>
        <groupItems count="14">
          <s v="&lt;1/5/23"/>
          <s v="Jan"/>
          <s v="Feb"/>
          <s v="Mar"/>
          <s v="Apr"/>
          <s v="May"/>
          <s v="Jun"/>
          <s v="Jul"/>
          <s v="Aug"/>
          <s v="Sep"/>
          <s v="Oct"/>
          <s v="Nov"/>
          <s v="Dec"/>
          <s v="&gt;6/27/23"/>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4943.486876157411" createdVersion="8" refreshedVersion="8" minRefreshableVersion="3" recordCount="75" xr:uid="{940A7B3D-9A29-4BD3-A0B3-914679A6F2DF}">
  <cacheSource type="worksheet">
    <worksheetSource ref="B6:D81" sheet="Data Analysis" r:id="rId2"/>
  </cacheSource>
  <cacheFields count="5">
    <cacheField name="Date" numFmtId="14">
      <sharedItems containsSemiMixedTypes="0" containsNonDate="0" containsDate="1" containsString="0" minDate="2023-01-05T00:00:00" maxDate="2023-03-30T00:00:00" count="48">
        <d v="2023-01-05T00:00:00"/>
        <d v="2023-01-06T00:00:00"/>
        <d v="2023-01-08T00:00:00"/>
        <d v="2023-01-11T00:00:00"/>
        <d v="2023-01-13T00:00:00"/>
        <d v="2023-01-14T00:00:00"/>
        <d v="2023-01-15T00:00:00"/>
        <d v="2023-01-17T00:00:00"/>
        <d v="2023-01-21T00:00:00"/>
        <d v="2023-01-22T00:00:00"/>
        <d v="2023-01-23T00:00:00"/>
        <d v="2023-01-25T00:00:00"/>
        <d v="2023-01-26T00:00:00"/>
        <d v="2023-01-27T00:00:00"/>
        <d v="2023-01-29T00:00:00"/>
        <d v="2023-01-30T00:00:00"/>
        <d v="2023-02-01T00:00:00"/>
        <d v="2023-02-02T00:00:00"/>
        <d v="2023-02-03T00:00:00"/>
        <d v="2023-02-05T00:00:00"/>
        <d v="2023-02-07T00:00:00"/>
        <d v="2023-02-08T00:00:00"/>
        <d v="2023-02-09T00:00:00"/>
        <d v="2023-02-12T00:00:00"/>
        <d v="2023-02-13T00:00:00"/>
        <d v="2023-02-14T00:00:00"/>
        <d v="2023-02-15T00:00:00"/>
        <d v="2023-02-16T00:00:00"/>
        <d v="2023-02-22T00:00:00"/>
        <d v="2023-02-23T00:00:00"/>
        <d v="2023-02-24T00:00:00"/>
        <d v="2023-02-25T00:00:00"/>
        <d v="2023-03-01T00:00:00"/>
        <d v="2023-03-02T00:00:00"/>
        <d v="2023-03-05T00:00:00"/>
        <d v="2023-03-08T00:00:00"/>
        <d v="2023-03-09T00:00:00"/>
        <d v="2023-03-12T00:00:00"/>
        <d v="2023-03-13T00:00:00"/>
        <d v="2023-03-14T00:00:00"/>
        <d v="2023-03-15T00:00:00"/>
        <d v="2023-03-16T00:00:00"/>
        <d v="2023-03-19T00:00:00"/>
        <d v="2023-03-24T00:00:00"/>
        <d v="2023-03-26T00:00:00"/>
        <d v="2023-03-27T00:00:00"/>
        <d v="2023-03-28T00:00:00"/>
        <d v="2023-03-29T00:00:00"/>
      </sharedItems>
      <fieldGroup par="4"/>
    </cacheField>
    <cacheField name="SalesRep" numFmtId="0">
      <sharedItems/>
    </cacheField>
    <cacheField name="Sales ($)" numFmtId="3">
      <sharedItems containsSemiMixedTypes="0" containsString="0" containsNumber="1" minValue="43.43" maxValue="4828.54"/>
    </cacheField>
    <cacheField name="Days (Date)" numFmtId="0" databaseField="0">
      <fieldGroup base="0">
        <rangePr groupBy="days" startDate="2023-01-05T00:00:00" endDate="2023-03-30T00:00:00"/>
        <groupItems count="368">
          <s v="&lt;1/5/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3"/>
        </groupItems>
      </fieldGroup>
    </cacheField>
    <cacheField name="Months (Date)" numFmtId="0" databaseField="0">
      <fieldGroup base="0">
        <rangePr groupBy="months" startDate="2023-01-05T00:00:00" endDate="2023-03-30T00:00:00"/>
        <groupItems count="14">
          <s v="&lt;1/5/23"/>
          <s v="Jan"/>
          <s v="Feb"/>
          <s v="Mar"/>
          <s v="Apr"/>
          <s v="May"/>
          <s v="Jun"/>
          <s v="Jul"/>
          <s v="Aug"/>
          <s v="Sep"/>
          <s v="Oct"/>
          <s v="Nov"/>
          <s v="Dec"/>
          <s v="&gt;3/3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x v="0"/>
    <x v="0"/>
    <n v="1645.01"/>
  </r>
  <r>
    <x v="1"/>
    <x v="0"/>
    <n v="4828.54"/>
  </r>
  <r>
    <x v="2"/>
    <x v="1"/>
    <n v="3634.56"/>
  </r>
  <r>
    <x v="3"/>
    <x v="1"/>
    <n v="2713.46"/>
  </r>
  <r>
    <x v="4"/>
    <x v="0"/>
    <n v="679.07"/>
  </r>
  <r>
    <x v="4"/>
    <x v="2"/>
    <n v="1526.73"/>
  </r>
  <r>
    <x v="5"/>
    <x v="2"/>
    <n v="3151.76"/>
  </r>
  <r>
    <x v="5"/>
    <x v="3"/>
    <n v="3554.02"/>
  </r>
  <r>
    <x v="5"/>
    <x v="2"/>
    <n v="3409.51"/>
  </r>
  <r>
    <x v="6"/>
    <x v="1"/>
    <n v="3361.29"/>
  </r>
  <r>
    <x v="6"/>
    <x v="3"/>
    <n v="458.09"/>
  </r>
  <r>
    <x v="6"/>
    <x v="1"/>
    <n v="2140.04"/>
  </r>
  <r>
    <x v="7"/>
    <x v="0"/>
    <n v="3882.28"/>
  </r>
  <r>
    <x v="8"/>
    <x v="1"/>
    <n v="1608.7"/>
  </r>
  <r>
    <x v="8"/>
    <x v="2"/>
    <n v="3223.12"/>
  </r>
  <r>
    <x v="9"/>
    <x v="2"/>
    <n v="98.57"/>
  </r>
  <r>
    <x v="9"/>
    <x v="3"/>
    <n v="1616.32"/>
  </r>
  <r>
    <x v="10"/>
    <x v="1"/>
    <n v="2907.42"/>
  </r>
  <r>
    <x v="11"/>
    <x v="2"/>
    <n v="2384.9699999999998"/>
  </r>
  <r>
    <x v="11"/>
    <x v="0"/>
    <n v="4326.08"/>
  </r>
  <r>
    <x v="11"/>
    <x v="0"/>
    <n v="554.62"/>
  </r>
  <r>
    <x v="12"/>
    <x v="2"/>
    <n v="1904.62"/>
  </r>
  <r>
    <x v="12"/>
    <x v="0"/>
    <n v="156.34"/>
  </r>
  <r>
    <x v="13"/>
    <x v="1"/>
    <n v="883.34"/>
  </r>
  <r>
    <x v="14"/>
    <x v="3"/>
    <n v="3838.87"/>
  </r>
  <r>
    <x v="15"/>
    <x v="1"/>
    <n v="787.87"/>
  </r>
  <r>
    <x v="15"/>
    <x v="2"/>
    <n v="3354.4"/>
  </r>
  <r>
    <x v="16"/>
    <x v="3"/>
    <n v="4467.0200000000004"/>
  </r>
  <r>
    <x v="16"/>
    <x v="0"/>
    <n v="4434.0600000000004"/>
  </r>
  <r>
    <x v="17"/>
    <x v="0"/>
    <n v="1970.14"/>
  </r>
  <r>
    <x v="17"/>
    <x v="1"/>
    <n v="2066.4299999999998"/>
  </r>
  <r>
    <x v="18"/>
    <x v="1"/>
    <n v="1797.46"/>
  </r>
  <r>
    <x v="18"/>
    <x v="0"/>
    <n v="1635.13"/>
  </r>
  <r>
    <x v="18"/>
    <x v="1"/>
    <n v="3389.24"/>
  </r>
  <r>
    <x v="19"/>
    <x v="3"/>
    <n v="1775.61"/>
  </r>
  <r>
    <x v="20"/>
    <x v="0"/>
    <n v="67.38"/>
  </r>
  <r>
    <x v="20"/>
    <x v="3"/>
    <n v="1363.2"/>
  </r>
  <r>
    <x v="20"/>
    <x v="2"/>
    <n v="1854.64"/>
  </r>
  <r>
    <x v="21"/>
    <x v="3"/>
    <n v="1450.63"/>
  </r>
  <r>
    <x v="21"/>
    <x v="1"/>
    <n v="1818.23"/>
  </r>
  <r>
    <x v="21"/>
    <x v="1"/>
    <n v="4546.43"/>
  </r>
  <r>
    <x v="22"/>
    <x v="2"/>
    <n v="4710.5200000000004"/>
  </r>
  <r>
    <x v="23"/>
    <x v="2"/>
    <n v="1482.88"/>
  </r>
  <r>
    <x v="23"/>
    <x v="3"/>
    <n v="2322.23"/>
  </r>
  <r>
    <x v="24"/>
    <x v="3"/>
    <n v="1561.53"/>
  </r>
  <r>
    <x v="25"/>
    <x v="2"/>
    <n v="4510.13"/>
  </r>
  <r>
    <x v="25"/>
    <x v="3"/>
    <n v="1576.29"/>
  </r>
  <r>
    <x v="26"/>
    <x v="0"/>
    <n v="4297.68"/>
  </r>
  <r>
    <x v="27"/>
    <x v="1"/>
    <n v="43.43"/>
  </r>
  <r>
    <x v="27"/>
    <x v="0"/>
    <n v="740.43"/>
  </r>
  <r>
    <x v="28"/>
    <x v="3"/>
    <n v="554.48"/>
  </r>
  <r>
    <x v="28"/>
    <x v="1"/>
    <n v="3194.89"/>
  </r>
  <r>
    <x v="29"/>
    <x v="3"/>
    <n v="4063.91"/>
  </r>
  <r>
    <x v="30"/>
    <x v="2"/>
    <n v="697.75"/>
  </r>
  <r>
    <x v="31"/>
    <x v="1"/>
    <n v="2938.14"/>
  </r>
  <r>
    <x v="31"/>
    <x v="3"/>
    <n v="2738.8"/>
  </r>
  <r>
    <x v="32"/>
    <x v="2"/>
    <n v="4690.49"/>
  </r>
  <r>
    <x v="33"/>
    <x v="0"/>
    <n v="1777.52"/>
  </r>
  <r>
    <x v="34"/>
    <x v="2"/>
    <n v="4294.17"/>
  </r>
  <r>
    <x v="35"/>
    <x v="0"/>
    <n v="3709.57"/>
  </r>
  <r>
    <x v="36"/>
    <x v="3"/>
    <n v="2200.5300000000002"/>
  </r>
  <r>
    <x v="37"/>
    <x v="1"/>
    <n v="4410.6099999999997"/>
  </r>
  <r>
    <x v="37"/>
    <x v="3"/>
    <n v="4752.4799999999996"/>
  </r>
  <r>
    <x v="38"/>
    <x v="2"/>
    <n v="3170.86"/>
  </r>
  <r>
    <x v="39"/>
    <x v="1"/>
    <n v="2539.84"/>
  </r>
  <r>
    <x v="40"/>
    <x v="0"/>
    <n v="2026.19"/>
  </r>
  <r>
    <x v="41"/>
    <x v="1"/>
    <n v="3367.39"/>
  </r>
  <r>
    <x v="41"/>
    <x v="2"/>
    <n v="494.38"/>
  </r>
  <r>
    <x v="42"/>
    <x v="3"/>
    <n v="4499.43"/>
  </r>
  <r>
    <x v="43"/>
    <x v="0"/>
    <n v="1723.54"/>
  </r>
  <r>
    <x v="44"/>
    <x v="2"/>
    <n v="3263.26"/>
  </r>
  <r>
    <x v="45"/>
    <x v="2"/>
    <n v="2859.62"/>
  </r>
  <r>
    <x v="46"/>
    <x v="3"/>
    <n v="2220.35"/>
  </r>
  <r>
    <x v="47"/>
    <x v="0"/>
    <n v="4272.3999999999996"/>
  </r>
  <r>
    <x v="47"/>
    <x v="3"/>
    <n v="2574.3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x v="0"/>
    <n v="1645.01"/>
  </r>
  <r>
    <x v="1"/>
    <x v="0"/>
    <n v="4828.54"/>
  </r>
  <r>
    <x v="2"/>
    <x v="1"/>
    <n v="3634.56"/>
  </r>
  <r>
    <x v="3"/>
    <x v="1"/>
    <n v="2713.46"/>
  </r>
  <r>
    <x v="4"/>
    <x v="0"/>
    <n v="679.07"/>
  </r>
  <r>
    <x v="4"/>
    <x v="2"/>
    <n v="1526.73"/>
  </r>
  <r>
    <x v="5"/>
    <x v="2"/>
    <n v="3151.76"/>
  </r>
  <r>
    <x v="5"/>
    <x v="3"/>
    <n v="3554.02"/>
  </r>
  <r>
    <x v="5"/>
    <x v="2"/>
    <n v="3409.51"/>
  </r>
  <r>
    <x v="6"/>
    <x v="1"/>
    <n v="3361.29"/>
  </r>
  <r>
    <x v="6"/>
    <x v="3"/>
    <n v="458.09"/>
  </r>
  <r>
    <x v="6"/>
    <x v="1"/>
    <n v="2140.04"/>
  </r>
  <r>
    <x v="7"/>
    <x v="0"/>
    <n v="3882.28"/>
  </r>
  <r>
    <x v="8"/>
    <x v="1"/>
    <n v="1608.7"/>
  </r>
  <r>
    <x v="8"/>
    <x v="2"/>
    <n v="3223.12"/>
  </r>
  <r>
    <x v="9"/>
    <x v="2"/>
    <n v="98.57"/>
  </r>
  <r>
    <x v="9"/>
    <x v="3"/>
    <n v="1616.32"/>
  </r>
  <r>
    <x v="10"/>
    <x v="1"/>
    <n v="2907.42"/>
  </r>
  <r>
    <x v="11"/>
    <x v="2"/>
    <n v="2384.9699999999998"/>
  </r>
  <r>
    <x v="11"/>
    <x v="0"/>
    <n v="4326.08"/>
  </r>
  <r>
    <x v="11"/>
    <x v="0"/>
    <n v="554.62"/>
  </r>
  <r>
    <x v="12"/>
    <x v="2"/>
    <n v="1904.62"/>
  </r>
  <r>
    <x v="12"/>
    <x v="0"/>
    <n v="156.34"/>
  </r>
  <r>
    <x v="13"/>
    <x v="1"/>
    <n v="883.34"/>
  </r>
  <r>
    <x v="14"/>
    <x v="3"/>
    <n v="3838.87"/>
  </r>
  <r>
    <x v="15"/>
    <x v="1"/>
    <n v="787.87"/>
  </r>
  <r>
    <x v="15"/>
    <x v="2"/>
    <n v="3354.4"/>
  </r>
  <r>
    <x v="16"/>
    <x v="3"/>
    <n v="4467.0200000000004"/>
  </r>
  <r>
    <x v="16"/>
    <x v="0"/>
    <n v="4434.0600000000004"/>
  </r>
  <r>
    <x v="17"/>
    <x v="0"/>
    <n v="1970.14"/>
  </r>
  <r>
    <x v="17"/>
    <x v="1"/>
    <n v="2066.4299999999998"/>
  </r>
  <r>
    <x v="18"/>
    <x v="1"/>
    <n v="1797.46"/>
  </r>
  <r>
    <x v="18"/>
    <x v="0"/>
    <n v="1635.13"/>
  </r>
  <r>
    <x v="18"/>
    <x v="1"/>
    <n v="3389.24"/>
  </r>
  <r>
    <x v="19"/>
    <x v="3"/>
    <n v="1775.61"/>
  </r>
  <r>
    <x v="20"/>
    <x v="0"/>
    <n v="67.38"/>
  </r>
  <r>
    <x v="20"/>
    <x v="3"/>
    <n v="1363.2"/>
  </r>
  <r>
    <x v="20"/>
    <x v="2"/>
    <n v="1854.64"/>
  </r>
  <r>
    <x v="21"/>
    <x v="3"/>
    <n v="1450.63"/>
  </r>
  <r>
    <x v="21"/>
    <x v="1"/>
    <n v="1818.23"/>
  </r>
  <r>
    <x v="21"/>
    <x v="1"/>
    <n v="4546.43"/>
  </r>
  <r>
    <x v="22"/>
    <x v="2"/>
    <n v="4710.5200000000004"/>
  </r>
  <r>
    <x v="23"/>
    <x v="2"/>
    <n v="1482.88"/>
  </r>
  <r>
    <x v="23"/>
    <x v="3"/>
    <n v="2322.23"/>
  </r>
  <r>
    <x v="24"/>
    <x v="3"/>
    <n v="1561.53"/>
  </r>
  <r>
    <x v="25"/>
    <x v="2"/>
    <n v="4510.13"/>
  </r>
  <r>
    <x v="25"/>
    <x v="3"/>
    <n v="1576.29"/>
  </r>
  <r>
    <x v="26"/>
    <x v="0"/>
    <n v="4297.68"/>
  </r>
  <r>
    <x v="27"/>
    <x v="1"/>
    <n v="43.43"/>
  </r>
  <r>
    <x v="27"/>
    <x v="0"/>
    <n v="740.43"/>
  </r>
  <r>
    <x v="28"/>
    <x v="3"/>
    <n v="554.48"/>
  </r>
  <r>
    <x v="28"/>
    <x v="1"/>
    <n v="3194.89"/>
  </r>
  <r>
    <x v="29"/>
    <x v="3"/>
    <n v="4063.91"/>
  </r>
  <r>
    <x v="30"/>
    <x v="2"/>
    <n v="697.75"/>
  </r>
  <r>
    <x v="31"/>
    <x v="1"/>
    <n v="2938.14"/>
  </r>
  <r>
    <x v="31"/>
    <x v="3"/>
    <n v="2738.8"/>
  </r>
  <r>
    <x v="32"/>
    <x v="2"/>
    <n v="4690.49"/>
  </r>
  <r>
    <x v="33"/>
    <x v="0"/>
    <n v="1777.52"/>
  </r>
  <r>
    <x v="34"/>
    <x v="2"/>
    <n v="4294.17"/>
  </r>
  <r>
    <x v="35"/>
    <x v="0"/>
    <n v="3709.57"/>
  </r>
  <r>
    <x v="36"/>
    <x v="3"/>
    <n v="2200.5300000000002"/>
  </r>
  <r>
    <x v="37"/>
    <x v="1"/>
    <n v="4410.6099999999997"/>
  </r>
  <r>
    <x v="37"/>
    <x v="3"/>
    <n v="4752.4799999999996"/>
  </r>
  <r>
    <x v="38"/>
    <x v="2"/>
    <n v="3170.86"/>
  </r>
  <r>
    <x v="39"/>
    <x v="1"/>
    <n v="2539.84"/>
  </r>
  <r>
    <x v="40"/>
    <x v="0"/>
    <n v="2026.19"/>
  </r>
  <r>
    <x v="41"/>
    <x v="1"/>
    <n v="3367.39"/>
  </r>
  <r>
    <x v="41"/>
    <x v="2"/>
    <n v="494.38"/>
  </r>
  <r>
    <x v="42"/>
    <x v="3"/>
    <n v="4499.43"/>
  </r>
  <r>
    <x v="43"/>
    <x v="0"/>
    <n v="1723.54"/>
  </r>
  <r>
    <x v="44"/>
    <x v="2"/>
    <n v="3263.26"/>
  </r>
  <r>
    <x v="45"/>
    <x v="2"/>
    <n v="2859.62"/>
  </r>
  <r>
    <x v="46"/>
    <x v="3"/>
    <n v="2220.35"/>
  </r>
  <r>
    <x v="47"/>
    <x v="0"/>
    <n v="4272.3999999999996"/>
  </r>
  <r>
    <x v="47"/>
    <x v="3"/>
    <n v="2574.33"/>
  </r>
  <r>
    <x v="48"/>
    <x v="1"/>
    <n v="4151.47"/>
  </r>
  <r>
    <x v="48"/>
    <x v="3"/>
    <n v="5229.01"/>
  </r>
  <r>
    <x v="49"/>
    <x v="1"/>
    <n v="4213.6499999999996"/>
  </r>
  <r>
    <x v="50"/>
    <x v="3"/>
    <n v="1616.68"/>
  </r>
  <r>
    <x v="51"/>
    <x v="0"/>
    <n v="2320.8000000000002"/>
  </r>
  <r>
    <x v="52"/>
    <x v="1"/>
    <n v="3164.17"/>
  </r>
  <r>
    <x v="52"/>
    <x v="2"/>
    <n v="4672.2"/>
  </r>
  <r>
    <x v="53"/>
    <x v="2"/>
    <n v="3544.53"/>
  </r>
  <r>
    <x v="54"/>
    <x v="1"/>
    <n v="4532.2299999999996"/>
  </r>
  <r>
    <x v="55"/>
    <x v="0"/>
    <n v="2321.62"/>
  </r>
  <r>
    <x v="56"/>
    <x v="0"/>
    <n v="3939.16"/>
  </r>
  <r>
    <x v="57"/>
    <x v="1"/>
    <n v="2980.75"/>
  </r>
  <r>
    <x v="58"/>
    <x v="3"/>
    <n v="3062.21"/>
  </r>
  <r>
    <x v="59"/>
    <x v="3"/>
    <n v="6239.21"/>
  </r>
  <r>
    <x v="60"/>
    <x v="1"/>
    <n v="2906.82"/>
  </r>
  <r>
    <x v="61"/>
    <x v="3"/>
    <n v="5812.71"/>
  </r>
  <r>
    <x v="62"/>
    <x v="1"/>
    <n v="2248.7800000000002"/>
  </r>
  <r>
    <x v="62"/>
    <x v="1"/>
    <n v="4344.4399999999996"/>
  </r>
  <r>
    <x v="62"/>
    <x v="0"/>
    <n v="6139.01"/>
  </r>
  <r>
    <x v="63"/>
    <x v="2"/>
    <n v="4981.83"/>
  </r>
  <r>
    <x v="64"/>
    <x v="3"/>
    <n v="3066.47"/>
  </r>
  <r>
    <x v="64"/>
    <x v="1"/>
    <n v="2925.87"/>
  </r>
  <r>
    <x v="65"/>
    <x v="0"/>
    <n v="3360.52"/>
  </r>
  <r>
    <x v="66"/>
    <x v="2"/>
    <n v="3676.99"/>
  </r>
  <r>
    <x v="66"/>
    <x v="2"/>
    <n v="6476.19"/>
  </r>
  <r>
    <x v="66"/>
    <x v="1"/>
    <n v="6205.55"/>
  </r>
  <r>
    <x v="66"/>
    <x v="2"/>
    <n v="1381.72"/>
  </r>
  <r>
    <x v="67"/>
    <x v="1"/>
    <n v="1856.15"/>
  </r>
  <r>
    <x v="67"/>
    <x v="0"/>
    <n v="4677.09"/>
  </r>
  <r>
    <x v="68"/>
    <x v="1"/>
    <n v="6745.45"/>
  </r>
  <r>
    <x v="68"/>
    <x v="2"/>
    <n v="3620.88"/>
  </r>
  <r>
    <x v="68"/>
    <x v="3"/>
    <n v="2483.2399999999998"/>
  </r>
  <r>
    <x v="69"/>
    <x v="1"/>
    <n v="6701.15"/>
  </r>
  <r>
    <x v="70"/>
    <x v="3"/>
    <n v="3161.1"/>
  </r>
  <r>
    <x v="70"/>
    <x v="0"/>
    <n v="5294.68"/>
  </r>
  <r>
    <x v="71"/>
    <x v="1"/>
    <n v="1605.18"/>
  </r>
  <r>
    <x v="71"/>
    <x v="3"/>
    <n v="3641.61"/>
  </r>
  <r>
    <x v="71"/>
    <x v="2"/>
    <n v="6773.57"/>
  </r>
  <r>
    <x v="72"/>
    <x v="2"/>
    <n v="2727.85"/>
  </r>
  <r>
    <x v="73"/>
    <x v="2"/>
    <n v="5203.76"/>
  </r>
  <r>
    <x v="74"/>
    <x v="0"/>
    <n v="4230.25"/>
  </r>
  <r>
    <x v="75"/>
    <x v="1"/>
    <n v="4971.41"/>
  </r>
  <r>
    <x v="76"/>
    <x v="2"/>
    <n v="4893.76"/>
  </r>
  <r>
    <x v="77"/>
    <x v="2"/>
    <n v="4069.41"/>
  </r>
  <r>
    <x v="78"/>
    <x v="3"/>
    <n v="6304.83"/>
  </r>
  <r>
    <x v="78"/>
    <x v="0"/>
    <n v="1534.98"/>
  </r>
  <r>
    <x v="79"/>
    <x v="0"/>
    <n v="6195.64"/>
  </r>
  <r>
    <x v="80"/>
    <x v="3"/>
    <n v="3860.31"/>
  </r>
  <r>
    <x v="81"/>
    <x v="3"/>
    <n v="6436.11"/>
  </r>
  <r>
    <x v="81"/>
    <x v="3"/>
    <n v="2174.94"/>
  </r>
  <r>
    <x v="82"/>
    <x v="0"/>
    <n v="3183.81"/>
  </r>
  <r>
    <x v="83"/>
    <x v="0"/>
    <n v="4127.82"/>
  </r>
  <r>
    <x v="83"/>
    <x v="3"/>
    <n v="1335.64"/>
  </r>
  <r>
    <x v="84"/>
    <x v="3"/>
    <n v="6973.41"/>
  </r>
  <r>
    <x v="85"/>
    <x v="3"/>
    <n v="2386.48"/>
  </r>
  <r>
    <x v="86"/>
    <x v="2"/>
    <n v="1318.06"/>
  </r>
  <r>
    <x v="87"/>
    <x v="2"/>
    <n v="7224.19"/>
  </r>
  <r>
    <x v="88"/>
    <x v="3"/>
    <n v="4695.04"/>
  </r>
  <r>
    <x v="88"/>
    <x v="0"/>
    <n v="7674.41"/>
  </r>
  <r>
    <x v="89"/>
    <x v="2"/>
    <n v="5521.63"/>
  </r>
  <r>
    <x v="90"/>
    <x v="0"/>
    <n v="4431.01"/>
  </r>
  <r>
    <x v="91"/>
    <x v="2"/>
    <n v="6269.22"/>
  </r>
  <r>
    <x v="91"/>
    <x v="3"/>
    <n v="6099.11"/>
  </r>
  <r>
    <x v="91"/>
    <x v="2"/>
    <n v="6523.01"/>
  </r>
  <r>
    <x v="92"/>
    <x v="0"/>
    <n v="5528.17"/>
  </r>
  <r>
    <x v="92"/>
    <x v="0"/>
    <n v="4519.07"/>
  </r>
  <r>
    <x v="93"/>
    <x v="1"/>
    <n v="5209.62"/>
  </r>
  <r>
    <x v="93"/>
    <x v="1"/>
    <n v="7011.71"/>
  </r>
  <r>
    <x v="93"/>
    <x v="0"/>
    <n v="6647.08"/>
  </r>
  <r>
    <x v="94"/>
    <x v="2"/>
    <n v="3831.24"/>
  </r>
  <r>
    <x v="94"/>
    <x v="1"/>
    <n v="4555.79"/>
  </r>
  <r>
    <x v="94"/>
    <x v="1"/>
    <n v="4665.33"/>
  </r>
  <r>
    <x v="95"/>
    <x v="2"/>
    <n v="5006.4799999999996"/>
  </r>
  <r>
    <x v="96"/>
    <x v="0"/>
    <n v="6082.79"/>
  </r>
  <r>
    <x v="96"/>
    <x v="2"/>
    <n v="6344.04"/>
  </r>
  <r>
    <x v="97"/>
    <x v="1"/>
    <n v="4217.26"/>
  </r>
  <r>
    <x v="98"/>
    <x v="0"/>
    <n v="4197.76"/>
  </r>
  <r>
    <x v="98"/>
    <x v="3"/>
    <n v="7645.36"/>
  </r>
  <r>
    <x v="98"/>
    <x v="1"/>
    <n v="7361.51"/>
  </r>
  <r>
    <x v="99"/>
    <x v="2"/>
    <n v="7737.13"/>
  </r>
  <r>
    <x v="100"/>
    <x v="2"/>
    <n v="6948.28"/>
  </r>
  <r>
    <x v="101"/>
    <x v="3"/>
    <n v="5308"/>
  </r>
  <r>
    <x v="101"/>
    <x v="3"/>
    <n v="5534.7"/>
  </r>
  <r>
    <x v="101"/>
    <x v="1"/>
    <n v="5735.86"/>
  </r>
  <r>
    <x v="102"/>
    <x v="0"/>
    <n v="6854.52"/>
  </r>
  <r>
    <x v="102"/>
    <x v="0"/>
    <n v="5276.25"/>
  </r>
  <r>
    <x v="103"/>
    <x v="1"/>
    <n v="3835.19"/>
  </r>
  <r>
    <x v="103"/>
    <x v="2"/>
    <n v="4064.22"/>
  </r>
  <r>
    <x v="104"/>
    <x v="3"/>
    <n v="4163.5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x v="0"/>
    <s v="Jim"/>
    <n v="1645.01"/>
  </r>
  <r>
    <x v="1"/>
    <s v="Jim"/>
    <n v="4828.54"/>
  </r>
  <r>
    <x v="2"/>
    <s v="Chantel"/>
    <n v="3634.56"/>
  </r>
  <r>
    <x v="3"/>
    <s v="Chantel"/>
    <n v="2713.46"/>
  </r>
  <r>
    <x v="4"/>
    <s v="Jim"/>
    <n v="679.07"/>
  </r>
  <r>
    <x v="4"/>
    <s v="Tyrone"/>
    <n v="1526.73"/>
  </r>
  <r>
    <x v="5"/>
    <s v="Tyrone"/>
    <n v="3151.76"/>
  </r>
  <r>
    <x v="5"/>
    <s v="Jo"/>
    <n v="3554.02"/>
  </r>
  <r>
    <x v="5"/>
    <s v="Tyrone"/>
    <n v="3409.51"/>
  </r>
  <r>
    <x v="6"/>
    <s v="Chantel"/>
    <n v="3361.29"/>
  </r>
  <r>
    <x v="6"/>
    <s v="Jo"/>
    <n v="458.09"/>
  </r>
  <r>
    <x v="6"/>
    <s v="Chantel"/>
    <n v="2140.04"/>
  </r>
  <r>
    <x v="7"/>
    <s v="Jim"/>
    <n v="3882.28"/>
  </r>
  <r>
    <x v="8"/>
    <s v="Chantel"/>
    <n v="1608.7"/>
  </r>
  <r>
    <x v="8"/>
    <s v="Tyrone"/>
    <n v="3223.12"/>
  </r>
  <r>
    <x v="9"/>
    <s v="Tyrone"/>
    <n v="98.57"/>
  </r>
  <r>
    <x v="9"/>
    <s v="Jo"/>
    <n v="1616.32"/>
  </r>
  <r>
    <x v="10"/>
    <s v="Chantel"/>
    <n v="2907.42"/>
  </r>
  <r>
    <x v="11"/>
    <s v="Tyrone"/>
    <n v="2384.9699999999998"/>
  </r>
  <r>
    <x v="11"/>
    <s v="Jim"/>
    <n v="4326.08"/>
  </r>
  <r>
    <x v="11"/>
    <s v="Jim"/>
    <n v="554.62"/>
  </r>
  <r>
    <x v="12"/>
    <s v="Tyrone"/>
    <n v="1904.62"/>
  </r>
  <r>
    <x v="12"/>
    <s v="Jim"/>
    <n v="156.34"/>
  </r>
  <r>
    <x v="13"/>
    <s v="Chantel"/>
    <n v="883.34"/>
  </r>
  <r>
    <x v="14"/>
    <s v="Jo"/>
    <n v="3838.87"/>
  </r>
  <r>
    <x v="15"/>
    <s v="Chantel"/>
    <n v="787.87"/>
  </r>
  <r>
    <x v="15"/>
    <s v="Tyrone"/>
    <n v="3354.4"/>
  </r>
  <r>
    <x v="16"/>
    <s v="Jo"/>
    <n v="4467.0200000000004"/>
  </r>
  <r>
    <x v="16"/>
    <s v="Jim"/>
    <n v="4434.0600000000004"/>
  </r>
  <r>
    <x v="17"/>
    <s v="Jim"/>
    <n v="1970.14"/>
  </r>
  <r>
    <x v="17"/>
    <s v="Chantel"/>
    <n v="2066.4299999999998"/>
  </r>
  <r>
    <x v="18"/>
    <s v="Chantel"/>
    <n v="1797.46"/>
  </r>
  <r>
    <x v="18"/>
    <s v="Jim"/>
    <n v="1635.13"/>
  </r>
  <r>
    <x v="18"/>
    <s v="Chantel"/>
    <n v="3389.24"/>
  </r>
  <r>
    <x v="19"/>
    <s v="Jo"/>
    <n v="1775.61"/>
  </r>
  <r>
    <x v="20"/>
    <s v="Jim"/>
    <n v="67.38"/>
  </r>
  <r>
    <x v="20"/>
    <s v="Jo"/>
    <n v="1363.2"/>
  </r>
  <r>
    <x v="20"/>
    <s v="Tyrone"/>
    <n v="1854.64"/>
  </r>
  <r>
    <x v="21"/>
    <s v="Jo"/>
    <n v="1450.63"/>
  </r>
  <r>
    <x v="21"/>
    <s v="Chantel"/>
    <n v="1818.23"/>
  </r>
  <r>
    <x v="21"/>
    <s v="Chantel"/>
    <n v="4546.43"/>
  </r>
  <r>
    <x v="22"/>
    <s v="Tyrone"/>
    <n v="4710.5200000000004"/>
  </r>
  <r>
    <x v="23"/>
    <s v="Tyrone"/>
    <n v="1482.88"/>
  </r>
  <r>
    <x v="23"/>
    <s v="Jo"/>
    <n v="2322.23"/>
  </r>
  <r>
    <x v="24"/>
    <s v="Jo"/>
    <n v="1561.53"/>
  </r>
  <r>
    <x v="25"/>
    <s v="Tyrone"/>
    <n v="4510.13"/>
  </r>
  <r>
    <x v="25"/>
    <s v="Jo"/>
    <n v="1576.29"/>
  </r>
  <r>
    <x v="26"/>
    <s v="Jim"/>
    <n v="4297.68"/>
  </r>
  <r>
    <x v="27"/>
    <s v="Chantel"/>
    <n v="43.43"/>
  </r>
  <r>
    <x v="27"/>
    <s v="Jim"/>
    <n v="740.43"/>
  </r>
  <r>
    <x v="28"/>
    <s v="Jo"/>
    <n v="554.48"/>
  </r>
  <r>
    <x v="28"/>
    <s v="Chantel"/>
    <n v="3194.89"/>
  </r>
  <r>
    <x v="29"/>
    <s v="Jo"/>
    <n v="4063.91"/>
  </r>
  <r>
    <x v="30"/>
    <s v="Tyrone"/>
    <n v="697.75"/>
  </r>
  <r>
    <x v="31"/>
    <s v="Chantel"/>
    <n v="2938.14"/>
  </r>
  <r>
    <x v="31"/>
    <s v="Jo"/>
    <n v="2738.8"/>
  </r>
  <r>
    <x v="32"/>
    <s v="Tyrone"/>
    <n v="4690.49"/>
  </r>
  <r>
    <x v="33"/>
    <s v="Jim"/>
    <n v="1777.52"/>
  </r>
  <r>
    <x v="34"/>
    <s v="Tyrone"/>
    <n v="4294.17"/>
  </r>
  <r>
    <x v="35"/>
    <s v="Jim"/>
    <n v="3709.57"/>
  </r>
  <r>
    <x v="36"/>
    <s v="Jo"/>
    <n v="2200.5300000000002"/>
  </r>
  <r>
    <x v="37"/>
    <s v="Chantel"/>
    <n v="4410.6099999999997"/>
  </r>
  <r>
    <x v="37"/>
    <s v="Jo"/>
    <n v="4752.4799999999996"/>
  </r>
  <r>
    <x v="38"/>
    <s v="Tyrone"/>
    <n v="3170.86"/>
  </r>
  <r>
    <x v="39"/>
    <s v="Chantel"/>
    <n v="2539.84"/>
  </r>
  <r>
    <x v="40"/>
    <s v="Jim"/>
    <n v="2026.19"/>
  </r>
  <r>
    <x v="41"/>
    <s v="Chantel"/>
    <n v="3367.39"/>
  </r>
  <r>
    <x v="41"/>
    <s v="Tyrone"/>
    <n v="494.38"/>
  </r>
  <r>
    <x v="42"/>
    <s v="Jo"/>
    <n v="4499.43"/>
  </r>
  <r>
    <x v="43"/>
    <s v="Jim"/>
    <n v="1723.54"/>
  </r>
  <r>
    <x v="44"/>
    <s v="Tyrone"/>
    <n v="3263.26"/>
  </r>
  <r>
    <x v="45"/>
    <s v="Tyrone"/>
    <n v="2859.62"/>
  </r>
  <r>
    <x v="46"/>
    <s v="Jo"/>
    <n v="2220.35"/>
  </r>
  <r>
    <x v="47"/>
    <s v="Jim"/>
    <n v="4272.3999999999996"/>
  </r>
  <r>
    <x v="47"/>
    <s v="Jo"/>
    <n v="2574.3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x v="0"/>
    <n v="1645.01"/>
  </r>
  <r>
    <x v="1"/>
    <x v="0"/>
    <n v="4828.54"/>
  </r>
  <r>
    <x v="2"/>
    <x v="1"/>
    <n v="3634.56"/>
  </r>
  <r>
    <x v="3"/>
    <x v="1"/>
    <n v="2713.46"/>
  </r>
  <r>
    <x v="4"/>
    <x v="0"/>
    <n v="679.07"/>
  </r>
  <r>
    <x v="4"/>
    <x v="2"/>
    <n v="1526.73"/>
  </r>
  <r>
    <x v="5"/>
    <x v="2"/>
    <n v="3151.76"/>
  </r>
  <r>
    <x v="5"/>
    <x v="3"/>
    <n v="3554.02"/>
  </r>
  <r>
    <x v="5"/>
    <x v="2"/>
    <n v="3409.51"/>
  </r>
  <r>
    <x v="6"/>
    <x v="1"/>
    <n v="3361.29"/>
  </r>
  <r>
    <x v="6"/>
    <x v="3"/>
    <n v="458.09"/>
  </r>
  <r>
    <x v="6"/>
    <x v="1"/>
    <n v="2140.04"/>
  </r>
  <r>
    <x v="7"/>
    <x v="0"/>
    <n v="3882.28"/>
  </r>
  <r>
    <x v="8"/>
    <x v="1"/>
    <n v="1608.7"/>
  </r>
  <r>
    <x v="8"/>
    <x v="2"/>
    <n v="3223.12"/>
  </r>
  <r>
    <x v="9"/>
    <x v="2"/>
    <n v="98.57"/>
  </r>
  <r>
    <x v="9"/>
    <x v="3"/>
    <n v="1616.32"/>
  </r>
  <r>
    <x v="10"/>
    <x v="1"/>
    <n v="2907.42"/>
  </r>
  <r>
    <x v="11"/>
    <x v="2"/>
    <n v="2384.9699999999998"/>
  </r>
  <r>
    <x v="11"/>
    <x v="0"/>
    <n v="4326.08"/>
  </r>
  <r>
    <x v="11"/>
    <x v="0"/>
    <n v="554.62"/>
  </r>
  <r>
    <x v="12"/>
    <x v="2"/>
    <n v="1904.62"/>
  </r>
  <r>
    <x v="12"/>
    <x v="0"/>
    <n v="156.34"/>
  </r>
  <r>
    <x v="13"/>
    <x v="1"/>
    <n v="883.34"/>
  </r>
  <r>
    <x v="14"/>
    <x v="3"/>
    <n v="3838.87"/>
  </r>
  <r>
    <x v="15"/>
    <x v="1"/>
    <n v="787.87"/>
  </r>
  <r>
    <x v="15"/>
    <x v="2"/>
    <n v="3354.4"/>
  </r>
  <r>
    <x v="16"/>
    <x v="3"/>
    <n v="4467.0200000000004"/>
  </r>
  <r>
    <x v="16"/>
    <x v="0"/>
    <n v="4434.0600000000004"/>
  </r>
  <r>
    <x v="17"/>
    <x v="0"/>
    <n v="1970.14"/>
  </r>
  <r>
    <x v="17"/>
    <x v="1"/>
    <n v="2066.4299999999998"/>
  </r>
  <r>
    <x v="18"/>
    <x v="1"/>
    <n v="1797.46"/>
  </r>
  <r>
    <x v="18"/>
    <x v="0"/>
    <n v="1635.13"/>
  </r>
  <r>
    <x v="18"/>
    <x v="1"/>
    <n v="3389.24"/>
  </r>
  <r>
    <x v="19"/>
    <x v="3"/>
    <n v="1775.61"/>
  </r>
  <r>
    <x v="20"/>
    <x v="0"/>
    <n v="67.38"/>
  </r>
  <r>
    <x v="20"/>
    <x v="3"/>
    <n v="1363.2"/>
  </r>
  <r>
    <x v="20"/>
    <x v="2"/>
    <n v="1854.64"/>
  </r>
  <r>
    <x v="21"/>
    <x v="3"/>
    <n v="1450.63"/>
  </r>
  <r>
    <x v="21"/>
    <x v="1"/>
    <n v="1818.23"/>
  </r>
  <r>
    <x v="21"/>
    <x v="1"/>
    <n v="4546.43"/>
  </r>
  <r>
    <x v="22"/>
    <x v="2"/>
    <n v="4710.5200000000004"/>
  </r>
  <r>
    <x v="23"/>
    <x v="2"/>
    <n v="1482.88"/>
  </r>
  <r>
    <x v="23"/>
    <x v="3"/>
    <n v="2322.23"/>
  </r>
  <r>
    <x v="24"/>
    <x v="3"/>
    <n v="1561.53"/>
  </r>
  <r>
    <x v="25"/>
    <x v="2"/>
    <n v="4510.13"/>
  </r>
  <r>
    <x v="25"/>
    <x v="3"/>
    <n v="1576.29"/>
  </r>
  <r>
    <x v="26"/>
    <x v="0"/>
    <n v="4297.68"/>
  </r>
  <r>
    <x v="27"/>
    <x v="1"/>
    <n v="43.43"/>
  </r>
  <r>
    <x v="27"/>
    <x v="0"/>
    <n v="740.43"/>
  </r>
  <r>
    <x v="28"/>
    <x v="3"/>
    <n v="554.48"/>
  </r>
  <r>
    <x v="28"/>
    <x v="1"/>
    <n v="3194.89"/>
  </r>
  <r>
    <x v="29"/>
    <x v="3"/>
    <n v="4063.91"/>
  </r>
  <r>
    <x v="30"/>
    <x v="2"/>
    <n v="697.75"/>
  </r>
  <r>
    <x v="31"/>
    <x v="1"/>
    <n v="2938.14"/>
  </r>
  <r>
    <x v="31"/>
    <x v="3"/>
    <n v="2738.8"/>
  </r>
  <r>
    <x v="32"/>
    <x v="2"/>
    <n v="4690.49"/>
  </r>
  <r>
    <x v="33"/>
    <x v="0"/>
    <n v="1777.52"/>
  </r>
  <r>
    <x v="34"/>
    <x v="2"/>
    <n v="4294.17"/>
  </r>
  <r>
    <x v="35"/>
    <x v="0"/>
    <n v="3709.57"/>
  </r>
  <r>
    <x v="36"/>
    <x v="3"/>
    <n v="2200.5300000000002"/>
  </r>
  <r>
    <x v="37"/>
    <x v="1"/>
    <n v="4410.6099999999997"/>
  </r>
  <r>
    <x v="37"/>
    <x v="3"/>
    <n v="4752.4799999999996"/>
  </r>
  <r>
    <x v="38"/>
    <x v="2"/>
    <n v="3170.86"/>
  </r>
  <r>
    <x v="39"/>
    <x v="1"/>
    <n v="2539.84"/>
  </r>
  <r>
    <x v="40"/>
    <x v="0"/>
    <n v="2026.19"/>
  </r>
  <r>
    <x v="41"/>
    <x v="1"/>
    <n v="3367.39"/>
  </r>
  <r>
    <x v="41"/>
    <x v="2"/>
    <n v="494.38"/>
  </r>
  <r>
    <x v="42"/>
    <x v="3"/>
    <n v="4499.43"/>
  </r>
  <r>
    <x v="43"/>
    <x v="0"/>
    <n v="1723.54"/>
  </r>
  <r>
    <x v="44"/>
    <x v="2"/>
    <n v="3263.26"/>
  </r>
  <r>
    <x v="45"/>
    <x v="2"/>
    <n v="2859.62"/>
  </r>
  <r>
    <x v="46"/>
    <x v="3"/>
    <n v="2220.35"/>
  </r>
  <r>
    <x v="47"/>
    <x v="0"/>
    <n v="4272.3999999999996"/>
  </r>
  <r>
    <x v="47"/>
    <x v="3"/>
    <n v="2574.33"/>
  </r>
  <r>
    <x v="48"/>
    <x v="1"/>
    <n v="4151.47"/>
  </r>
  <r>
    <x v="48"/>
    <x v="3"/>
    <n v="5229.01"/>
  </r>
  <r>
    <x v="49"/>
    <x v="1"/>
    <n v="4213.6499999999996"/>
  </r>
  <r>
    <x v="50"/>
    <x v="3"/>
    <n v="1616.68"/>
  </r>
  <r>
    <x v="51"/>
    <x v="0"/>
    <n v="2320.8000000000002"/>
  </r>
  <r>
    <x v="52"/>
    <x v="1"/>
    <n v="3164.17"/>
  </r>
  <r>
    <x v="52"/>
    <x v="2"/>
    <n v="4672.2"/>
  </r>
  <r>
    <x v="53"/>
    <x v="2"/>
    <n v="3544.53"/>
  </r>
  <r>
    <x v="54"/>
    <x v="1"/>
    <n v="4532.2299999999996"/>
  </r>
  <r>
    <x v="55"/>
    <x v="0"/>
    <n v="2321.62"/>
  </r>
  <r>
    <x v="56"/>
    <x v="0"/>
    <n v="3939.16"/>
  </r>
  <r>
    <x v="57"/>
    <x v="1"/>
    <n v="2980.75"/>
  </r>
  <r>
    <x v="58"/>
    <x v="3"/>
    <n v="3062.21"/>
  </r>
  <r>
    <x v="59"/>
    <x v="3"/>
    <n v="6239.21"/>
  </r>
  <r>
    <x v="60"/>
    <x v="1"/>
    <n v="2906.82"/>
  </r>
  <r>
    <x v="61"/>
    <x v="3"/>
    <n v="5812.71"/>
  </r>
  <r>
    <x v="62"/>
    <x v="1"/>
    <n v="2248.7800000000002"/>
  </r>
  <r>
    <x v="62"/>
    <x v="1"/>
    <n v="4344.4399999999996"/>
  </r>
  <r>
    <x v="62"/>
    <x v="0"/>
    <n v="6139.01"/>
  </r>
  <r>
    <x v="63"/>
    <x v="2"/>
    <n v="4981.83"/>
  </r>
  <r>
    <x v="64"/>
    <x v="3"/>
    <n v="3066.47"/>
  </r>
  <r>
    <x v="64"/>
    <x v="1"/>
    <n v="2925.87"/>
  </r>
  <r>
    <x v="65"/>
    <x v="0"/>
    <n v="3360.52"/>
  </r>
  <r>
    <x v="66"/>
    <x v="2"/>
    <n v="3676.99"/>
  </r>
  <r>
    <x v="66"/>
    <x v="2"/>
    <n v="6476.19"/>
  </r>
  <r>
    <x v="66"/>
    <x v="1"/>
    <n v="6205.55"/>
  </r>
  <r>
    <x v="66"/>
    <x v="2"/>
    <n v="1381.72"/>
  </r>
  <r>
    <x v="67"/>
    <x v="1"/>
    <n v="1856.15"/>
  </r>
  <r>
    <x v="67"/>
    <x v="0"/>
    <n v="4677.09"/>
  </r>
  <r>
    <x v="68"/>
    <x v="1"/>
    <n v="6745.45"/>
  </r>
  <r>
    <x v="68"/>
    <x v="2"/>
    <n v="3620.88"/>
  </r>
  <r>
    <x v="68"/>
    <x v="3"/>
    <n v="2483.2399999999998"/>
  </r>
  <r>
    <x v="69"/>
    <x v="1"/>
    <n v="6701.15"/>
  </r>
  <r>
    <x v="70"/>
    <x v="3"/>
    <n v="3161.1"/>
  </r>
  <r>
    <x v="70"/>
    <x v="0"/>
    <n v="5294.68"/>
  </r>
  <r>
    <x v="71"/>
    <x v="1"/>
    <n v="1605.18"/>
  </r>
  <r>
    <x v="71"/>
    <x v="3"/>
    <n v="3641.61"/>
  </r>
  <r>
    <x v="71"/>
    <x v="2"/>
    <n v="6773.57"/>
  </r>
  <r>
    <x v="72"/>
    <x v="2"/>
    <n v="2727.85"/>
  </r>
  <r>
    <x v="73"/>
    <x v="2"/>
    <n v="5203.76"/>
  </r>
  <r>
    <x v="74"/>
    <x v="0"/>
    <n v="4230.25"/>
  </r>
  <r>
    <x v="75"/>
    <x v="1"/>
    <n v="4971.41"/>
  </r>
  <r>
    <x v="76"/>
    <x v="2"/>
    <n v="4893.76"/>
  </r>
  <r>
    <x v="77"/>
    <x v="2"/>
    <n v="4069.41"/>
  </r>
  <r>
    <x v="78"/>
    <x v="3"/>
    <n v="6304.83"/>
  </r>
  <r>
    <x v="78"/>
    <x v="0"/>
    <n v="1534.98"/>
  </r>
  <r>
    <x v="79"/>
    <x v="0"/>
    <n v="6195.64"/>
  </r>
  <r>
    <x v="80"/>
    <x v="3"/>
    <n v="3860.31"/>
  </r>
  <r>
    <x v="81"/>
    <x v="3"/>
    <n v="6436.11"/>
  </r>
  <r>
    <x v="81"/>
    <x v="3"/>
    <n v="2174.94"/>
  </r>
  <r>
    <x v="82"/>
    <x v="0"/>
    <n v="3183.81"/>
  </r>
  <r>
    <x v="83"/>
    <x v="0"/>
    <n v="4127.82"/>
  </r>
  <r>
    <x v="83"/>
    <x v="3"/>
    <n v="1335.64"/>
  </r>
  <r>
    <x v="84"/>
    <x v="3"/>
    <n v="6973.41"/>
  </r>
  <r>
    <x v="85"/>
    <x v="3"/>
    <n v="2386.48"/>
  </r>
  <r>
    <x v="86"/>
    <x v="2"/>
    <n v="1318.06"/>
  </r>
  <r>
    <x v="87"/>
    <x v="2"/>
    <n v="7224.19"/>
  </r>
  <r>
    <x v="88"/>
    <x v="3"/>
    <n v="4695.04"/>
  </r>
  <r>
    <x v="88"/>
    <x v="0"/>
    <n v="7674.41"/>
  </r>
  <r>
    <x v="89"/>
    <x v="2"/>
    <n v="5521.63"/>
  </r>
  <r>
    <x v="90"/>
    <x v="0"/>
    <n v="4431.01"/>
  </r>
  <r>
    <x v="91"/>
    <x v="2"/>
    <n v="6269.22"/>
  </r>
  <r>
    <x v="91"/>
    <x v="3"/>
    <n v="6099.11"/>
  </r>
  <r>
    <x v="91"/>
    <x v="2"/>
    <n v="6523.01"/>
  </r>
  <r>
    <x v="92"/>
    <x v="0"/>
    <n v="5528.17"/>
  </r>
  <r>
    <x v="92"/>
    <x v="0"/>
    <n v="4519.07"/>
  </r>
  <r>
    <x v="93"/>
    <x v="1"/>
    <n v="5209.62"/>
  </r>
  <r>
    <x v="93"/>
    <x v="1"/>
    <n v="7011.71"/>
  </r>
  <r>
    <x v="93"/>
    <x v="0"/>
    <n v="6647.08"/>
  </r>
  <r>
    <x v="94"/>
    <x v="2"/>
    <n v="3831.24"/>
  </r>
  <r>
    <x v="94"/>
    <x v="1"/>
    <n v="4555.79"/>
  </r>
  <r>
    <x v="94"/>
    <x v="1"/>
    <n v="4665.33"/>
  </r>
  <r>
    <x v="95"/>
    <x v="2"/>
    <n v="5006.4799999999996"/>
  </r>
  <r>
    <x v="96"/>
    <x v="0"/>
    <n v="6082.79"/>
  </r>
  <r>
    <x v="96"/>
    <x v="2"/>
    <n v="6344.04"/>
  </r>
  <r>
    <x v="97"/>
    <x v="1"/>
    <n v="4217.26"/>
  </r>
  <r>
    <x v="98"/>
    <x v="0"/>
    <n v="4197.76"/>
  </r>
  <r>
    <x v="98"/>
    <x v="3"/>
    <n v="7645.36"/>
  </r>
  <r>
    <x v="98"/>
    <x v="1"/>
    <n v="7361.51"/>
  </r>
  <r>
    <x v="99"/>
    <x v="2"/>
    <n v="7737.13"/>
  </r>
  <r>
    <x v="100"/>
    <x v="2"/>
    <n v="6948.28"/>
  </r>
  <r>
    <x v="101"/>
    <x v="3"/>
    <n v="5308"/>
  </r>
  <r>
    <x v="101"/>
    <x v="3"/>
    <n v="5534.7"/>
  </r>
  <r>
    <x v="101"/>
    <x v="1"/>
    <n v="5735.86"/>
  </r>
  <r>
    <x v="102"/>
    <x v="0"/>
    <n v="6854.52"/>
  </r>
  <r>
    <x v="102"/>
    <x v="0"/>
    <n v="5276.25"/>
  </r>
  <r>
    <x v="103"/>
    <x v="1"/>
    <n v="3835.19"/>
  </r>
  <r>
    <x v="103"/>
    <x v="2"/>
    <n v="4064.22"/>
  </r>
  <r>
    <x v="104"/>
    <x v="3"/>
    <n v="4163.5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x v="0"/>
    <s v="Jim"/>
    <n v="1645.01"/>
  </r>
  <r>
    <x v="1"/>
    <s v="Jim"/>
    <n v="4828.54"/>
  </r>
  <r>
    <x v="2"/>
    <s v="Chantel"/>
    <n v="3634.56"/>
  </r>
  <r>
    <x v="3"/>
    <s v="Chantel"/>
    <n v="2713.46"/>
  </r>
  <r>
    <x v="4"/>
    <s v="Jim"/>
    <n v="679.07"/>
  </r>
  <r>
    <x v="4"/>
    <s v="Tyrone"/>
    <n v="1526.73"/>
  </r>
  <r>
    <x v="5"/>
    <s v="Tyrone"/>
    <n v="3151.76"/>
  </r>
  <r>
    <x v="5"/>
    <s v="Jo"/>
    <n v="3554.02"/>
  </r>
  <r>
    <x v="5"/>
    <s v="Tyrone"/>
    <n v="3409.51"/>
  </r>
  <r>
    <x v="6"/>
    <s v="Chantel"/>
    <n v="3361.29"/>
  </r>
  <r>
    <x v="6"/>
    <s v="Jo"/>
    <n v="458.09"/>
  </r>
  <r>
    <x v="6"/>
    <s v="Chantel"/>
    <n v="2140.04"/>
  </r>
  <r>
    <x v="7"/>
    <s v="Jim"/>
    <n v="3882.28"/>
  </r>
  <r>
    <x v="8"/>
    <s v="Chantel"/>
    <n v="1608.7"/>
  </r>
  <r>
    <x v="8"/>
    <s v="Tyrone"/>
    <n v="3223.12"/>
  </r>
  <r>
    <x v="9"/>
    <s v="Tyrone"/>
    <n v="98.57"/>
  </r>
  <r>
    <x v="9"/>
    <s v="Jo"/>
    <n v="1616.32"/>
  </r>
  <r>
    <x v="10"/>
    <s v="Chantel"/>
    <n v="2907.42"/>
  </r>
  <r>
    <x v="11"/>
    <s v="Tyrone"/>
    <n v="2384.9699999999998"/>
  </r>
  <r>
    <x v="11"/>
    <s v="Jim"/>
    <n v="4326.08"/>
  </r>
  <r>
    <x v="11"/>
    <s v="Jim"/>
    <n v="554.62"/>
  </r>
  <r>
    <x v="12"/>
    <s v="Tyrone"/>
    <n v="1904.62"/>
  </r>
  <r>
    <x v="12"/>
    <s v="Jim"/>
    <n v="156.34"/>
  </r>
  <r>
    <x v="13"/>
    <s v="Chantel"/>
    <n v="883.34"/>
  </r>
  <r>
    <x v="14"/>
    <s v="Jo"/>
    <n v="3838.87"/>
  </r>
  <r>
    <x v="15"/>
    <s v="Chantel"/>
    <n v="787.87"/>
  </r>
  <r>
    <x v="15"/>
    <s v="Tyrone"/>
    <n v="3354.4"/>
  </r>
  <r>
    <x v="16"/>
    <s v="Jo"/>
    <n v="4467.0200000000004"/>
  </r>
  <r>
    <x v="16"/>
    <s v="Jim"/>
    <n v="4434.0600000000004"/>
  </r>
  <r>
    <x v="17"/>
    <s v="Jim"/>
    <n v="1970.14"/>
  </r>
  <r>
    <x v="17"/>
    <s v="Chantel"/>
    <n v="2066.4299999999998"/>
  </r>
  <r>
    <x v="18"/>
    <s v="Chantel"/>
    <n v="1797.46"/>
  </r>
  <r>
    <x v="18"/>
    <s v="Jim"/>
    <n v="1635.13"/>
  </r>
  <r>
    <x v="18"/>
    <s v="Chantel"/>
    <n v="3389.24"/>
  </r>
  <r>
    <x v="19"/>
    <s v="Jo"/>
    <n v="1775.61"/>
  </r>
  <r>
    <x v="20"/>
    <s v="Jim"/>
    <n v="67.38"/>
  </r>
  <r>
    <x v="20"/>
    <s v="Jo"/>
    <n v="1363.2"/>
  </r>
  <r>
    <x v="20"/>
    <s v="Tyrone"/>
    <n v="1854.64"/>
  </r>
  <r>
    <x v="21"/>
    <s v="Jo"/>
    <n v="1450.63"/>
  </r>
  <r>
    <x v="21"/>
    <s v="Chantel"/>
    <n v="1818.23"/>
  </r>
  <r>
    <x v="21"/>
    <s v="Chantel"/>
    <n v="4546.43"/>
  </r>
  <r>
    <x v="22"/>
    <s v="Tyrone"/>
    <n v="4710.5200000000004"/>
  </r>
  <r>
    <x v="23"/>
    <s v="Tyrone"/>
    <n v="1482.88"/>
  </r>
  <r>
    <x v="23"/>
    <s v="Jo"/>
    <n v="2322.23"/>
  </r>
  <r>
    <x v="24"/>
    <s v="Jo"/>
    <n v="1561.53"/>
  </r>
  <r>
    <x v="25"/>
    <s v="Tyrone"/>
    <n v="4510.13"/>
  </r>
  <r>
    <x v="25"/>
    <s v="Jo"/>
    <n v="1576.29"/>
  </r>
  <r>
    <x v="26"/>
    <s v="Jim"/>
    <n v="4297.68"/>
  </r>
  <r>
    <x v="27"/>
    <s v="Chantel"/>
    <n v="43.43"/>
  </r>
  <r>
    <x v="27"/>
    <s v="Jim"/>
    <n v="740.43"/>
  </r>
  <r>
    <x v="28"/>
    <s v="Jo"/>
    <n v="554.48"/>
  </r>
  <r>
    <x v="28"/>
    <s v="Chantel"/>
    <n v="3194.89"/>
  </r>
  <r>
    <x v="29"/>
    <s v="Jo"/>
    <n v="4063.91"/>
  </r>
  <r>
    <x v="30"/>
    <s v="Tyrone"/>
    <n v="697.75"/>
  </r>
  <r>
    <x v="31"/>
    <s v="Chantel"/>
    <n v="2938.14"/>
  </r>
  <r>
    <x v="31"/>
    <s v="Jo"/>
    <n v="2738.8"/>
  </r>
  <r>
    <x v="32"/>
    <s v="Tyrone"/>
    <n v="4690.49"/>
  </r>
  <r>
    <x v="33"/>
    <s v="Jim"/>
    <n v="1777.52"/>
  </r>
  <r>
    <x v="34"/>
    <s v="Tyrone"/>
    <n v="4294.17"/>
  </r>
  <r>
    <x v="35"/>
    <s v="Jim"/>
    <n v="3709.57"/>
  </r>
  <r>
    <x v="36"/>
    <s v="Jo"/>
    <n v="2200.5300000000002"/>
  </r>
  <r>
    <x v="37"/>
    <s v="Chantel"/>
    <n v="4410.6099999999997"/>
  </r>
  <r>
    <x v="37"/>
    <s v="Jo"/>
    <n v="4752.4799999999996"/>
  </r>
  <r>
    <x v="38"/>
    <s v="Tyrone"/>
    <n v="3170.86"/>
  </r>
  <r>
    <x v="39"/>
    <s v="Chantel"/>
    <n v="2539.84"/>
  </r>
  <r>
    <x v="40"/>
    <s v="Jim"/>
    <n v="2026.19"/>
  </r>
  <r>
    <x v="41"/>
    <s v="Chantel"/>
    <n v="3367.39"/>
  </r>
  <r>
    <x v="41"/>
    <s v="Tyrone"/>
    <n v="494.38"/>
  </r>
  <r>
    <x v="42"/>
    <s v="Jo"/>
    <n v="4499.43"/>
  </r>
  <r>
    <x v="43"/>
    <s v="Jim"/>
    <n v="1723.54"/>
  </r>
  <r>
    <x v="44"/>
    <s v="Tyrone"/>
    <n v="3263.26"/>
  </r>
  <r>
    <x v="45"/>
    <s v="Tyrone"/>
    <n v="2859.62"/>
  </r>
  <r>
    <x v="46"/>
    <s v="Jo"/>
    <n v="2220.35"/>
  </r>
  <r>
    <x v="47"/>
    <s v="Jim"/>
    <n v="4272.3999999999996"/>
  </r>
  <r>
    <x v="47"/>
    <s v="Jo"/>
    <n v="2574.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36B0E3-5D29-4B48-8DA9-D4B9F9A01BE9}" name="PivotTable3" cacheId="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F6:H35" firstHeaderRow="1" firstDataRow="1" firstDataCol="2"/>
  <pivotFields count="5">
    <pivotField compact="0" numFmtId="14" outline="0"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90"/>
        <item x="91"/>
        <item x="92"/>
        <item x="93"/>
        <item x="94"/>
        <item x="96"/>
        <item x="97"/>
        <item x="98"/>
        <item x="100"/>
        <item x="101"/>
        <item x="102"/>
        <item x="103"/>
        <item x="104"/>
        <item x="87"/>
        <item x="89"/>
        <item x="88"/>
        <item x="95"/>
        <item x="99"/>
        <item t="default"/>
      </items>
    </pivotField>
    <pivotField axis="axisRow" compact="0" outline="0" subtotalTop="0" showAll="0">
      <items count="5">
        <item x="1"/>
        <item x="0"/>
        <item x="3"/>
        <item x="2"/>
        <item t="default"/>
      </items>
    </pivotField>
    <pivotField dataField="1" compact="0" outline="0" subtotalTop="0" showAll="0"/>
    <pivotField compact="0" outline="0"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name="Month" axis="axisRow" compact="0" outline="0" subtotalTop="0" showAll="0">
      <items count="15">
        <item x="0"/>
        <item x="1"/>
        <item x="2"/>
        <item x="3"/>
        <item x="4"/>
        <item x="5"/>
        <item x="6"/>
        <item x="7"/>
        <item x="8"/>
        <item x="9"/>
        <item x="10"/>
        <item x="11"/>
        <item x="12"/>
        <item x="13"/>
        <item t="default"/>
      </items>
    </pivotField>
  </pivotFields>
  <rowFields count="2">
    <field x="1"/>
    <field x="4"/>
  </rowFields>
  <rowItems count="29">
    <i>
      <x/>
      <x v="1"/>
    </i>
    <i r="1">
      <x v="2"/>
    </i>
    <i r="1">
      <x v="3"/>
    </i>
    <i r="1">
      <x v="4"/>
    </i>
    <i r="1">
      <x v="5"/>
    </i>
    <i r="1">
      <x v="6"/>
    </i>
    <i t="default">
      <x/>
    </i>
    <i>
      <x v="1"/>
      <x v="1"/>
    </i>
    <i r="1">
      <x v="2"/>
    </i>
    <i r="1">
      <x v="3"/>
    </i>
    <i r="1">
      <x v="4"/>
    </i>
    <i r="1">
      <x v="5"/>
    </i>
    <i r="1">
      <x v="6"/>
    </i>
    <i t="default">
      <x v="1"/>
    </i>
    <i>
      <x v="2"/>
      <x v="1"/>
    </i>
    <i r="1">
      <x v="2"/>
    </i>
    <i r="1">
      <x v="3"/>
    </i>
    <i r="1">
      <x v="4"/>
    </i>
    <i r="1">
      <x v="5"/>
    </i>
    <i r="1">
      <x v="6"/>
    </i>
    <i t="default">
      <x v="2"/>
    </i>
    <i>
      <x v="3"/>
      <x v="1"/>
    </i>
    <i r="1">
      <x v="2"/>
    </i>
    <i r="1">
      <x v="3"/>
    </i>
    <i r="1">
      <x v="4"/>
    </i>
    <i r="1">
      <x v="5"/>
    </i>
    <i r="1">
      <x v="6"/>
    </i>
    <i t="default">
      <x v="3"/>
    </i>
    <i t="grand">
      <x/>
    </i>
  </rowItems>
  <colItems count="1">
    <i/>
  </colItems>
  <dataFields count="1">
    <dataField name="Total Sales ($)" fld="2" baseField="0" baseItem="0" numFmtId="3"/>
  </dataFields>
  <conditionalFormats count="1">
    <conditionalFormat scope="field" type="all" priority="2">
      <pivotAreas count="1">
        <pivotArea outline="0" collapsedLevelsAreSubtotals="1" fieldPosition="0">
          <references count="2">
            <reference field="4294967294" count="1" selected="0">
              <x v="0"/>
            </reference>
            <reference field="4"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5C223B-FA75-4473-B755-B0D13C595443}" name="PivotTable4" cacheId="2"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6">
  <location ref="J6:K10" firstHeaderRow="1" firstDataRow="1" firstDataCol="1"/>
  <pivotFields count="5">
    <pivotField compact="0" numFmtId="14" outline="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compact="0" outline="0" subtotalTop="0" showAll="0"/>
    <pivotField dataField="1" compact="0" outline="0" subtotalTop="0" showAll="0"/>
    <pivotField compact="0" outline="0" showAll="0"/>
    <pivotField name="Month" axis="axisRow" compact="0" outline="0" showAll="0">
      <items count="15">
        <item x="0"/>
        <item x="1"/>
        <item x="2"/>
        <item x="3"/>
        <item x="4"/>
        <item x="5"/>
        <item x="6"/>
        <item x="7"/>
        <item x="8"/>
        <item x="9"/>
        <item x="10"/>
        <item x="11"/>
        <item x="12"/>
        <item x="13"/>
        <item t="default"/>
      </items>
    </pivotField>
  </pivotFields>
  <rowFields count="1">
    <field x="4"/>
  </rowFields>
  <rowItems count="4">
    <i>
      <x v="1"/>
    </i>
    <i>
      <x v="2"/>
    </i>
    <i>
      <x v="3"/>
    </i>
    <i t="grand">
      <x/>
    </i>
  </rowItems>
  <colItems count="1">
    <i/>
  </colItems>
  <dataFields count="1">
    <dataField name="Total Sales ($)" fld="2" baseField="0" baseItem="0" numFmtId="3"/>
  </dataFields>
  <chartFormats count="6">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4" count="1" selected="0">
            <x v="5"/>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5"/>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6B33AC-0278-4F3D-8A7A-8B2148673DBF}" name="PivotTable2" cacheId="4"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6">
  <location ref="AB7:AC11" firstHeaderRow="1" firstDataRow="1" firstDataCol="1"/>
  <pivotFields count="5">
    <pivotField compact="0" numFmtId="14" outline="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compact="0" outline="0" subtotalTop="0" showAll="0"/>
    <pivotField dataField="1" compact="0" outline="0" subtotalTop="0" showAll="0"/>
    <pivotField compact="0" outline="0" showAll="0"/>
    <pivotField name="Month" axis="axisRow" compact="0" outline="0" showAll="0">
      <items count="15">
        <item x="0"/>
        <item x="1"/>
        <item x="2"/>
        <item x="3"/>
        <item x="4"/>
        <item x="5"/>
        <item x="6"/>
        <item x="7"/>
        <item x="8"/>
        <item x="9"/>
        <item x="10"/>
        <item x="11"/>
        <item x="12"/>
        <item x="13"/>
        <item t="default"/>
      </items>
    </pivotField>
  </pivotFields>
  <rowFields count="1">
    <field x="4"/>
  </rowFields>
  <rowItems count="4">
    <i>
      <x v="1"/>
    </i>
    <i>
      <x v="2"/>
    </i>
    <i>
      <x v="3"/>
    </i>
    <i t="grand">
      <x/>
    </i>
  </rowItems>
  <colItems count="1">
    <i/>
  </colItems>
  <dataFields count="1">
    <dataField name="Total Sales ($)" fld="2" baseField="0" baseItem="0" numFmtId="3"/>
  </dataFields>
  <chartFormats count="6">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4" count="1" selected="0">
            <x v="5"/>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5"/>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E7F8F8-E649-4755-8E3B-D2569E333D6F}" name="PivotTable1" cacheId="3"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X7:Z36" firstHeaderRow="1" firstDataRow="1" firstDataCol="2"/>
  <pivotFields count="5">
    <pivotField compact="0" numFmtId="14" outline="0"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90"/>
        <item x="91"/>
        <item x="92"/>
        <item x="93"/>
        <item x="94"/>
        <item x="96"/>
        <item x="97"/>
        <item x="98"/>
        <item x="100"/>
        <item x="101"/>
        <item x="102"/>
        <item x="103"/>
        <item x="104"/>
        <item x="87"/>
        <item x="89"/>
        <item x="88"/>
        <item x="95"/>
        <item x="99"/>
        <item t="default"/>
      </items>
    </pivotField>
    <pivotField axis="axisRow" compact="0" outline="0" subtotalTop="0" showAll="0">
      <items count="5">
        <item x="1"/>
        <item x="0"/>
        <item x="3"/>
        <item x="2"/>
        <item t="default"/>
      </items>
    </pivotField>
    <pivotField dataField="1" compact="0" outline="0" subtotalTop="0" showAll="0"/>
    <pivotField compact="0" outline="0"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name="Month" axis="axisRow" compact="0" outline="0" subtotalTop="0" showAll="0">
      <items count="15">
        <item x="0"/>
        <item x="1"/>
        <item x="2"/>
        <item x="3"/>
        <item x="4"/>
        <item x="5"/>
        <item x="6"/>
        <item x="7"/>
        <item x="8"/>
        <item x="9"/>
        <item x="10"/>
        <item x="11"/>
        <item x="12"/>
        <item x="13"/>
        <item t="default"/>
      </items>
    </pivotField>
  </pivotFields>
  <rowFields count="2">
    <field x="1"/>
    <field x="4"/>
  </rowFields>
  <rowItems count="29">
    <i>
      <x/>
      <x v="1"/>
    </i>
    <i r="1">
      <x v="2"/>
    </i>
    <i r="1">
      <x v="3"/>
    </i>
    <i r="1">
      <x v="4"/>
    </i>
    <i r="1">
      <x v="5"/>
    </i>
    <i r="1">
      <x v="6"/>
    </i>
    <i t="default">
      <x/>
    </i>
    <i>
      <x v="1"/>
      <x v="1"/>
    </i>
    <i r="1">
      <x v="2"/>
    </i>
    <i r="1">
      <x v="3"/>
    </i>
    <i r="1">
      <x v="4"/>
    </i>
    <i r="1">
      <x v="5"/>
    </i>
    <i r="1">
      <x v="6"/>
    </i>
    <i t="default">
      <x v="1"/>
    </i>
    <i>
      <x v="2"/>
      <x v="1"/>
    </i>
    <i r="1">
      <x v="2"/>
    </i>
    <i r="1">
      <x v="3"/>
    </i>
    <i r="1">
      <x v="4"/>
    </i>
    <i r="1">
      <x v="5"/>
    </i>
    <i r="1">
      <x v="6"/>
    </i>
    <i t="default">
      <x v="2"/>
    </i>
    <i>
      <x v="3"/>
      <x v="1"/>
    </i>
    <i r="1">
      <x v="2"/>
    </i>
    <i r="1">
      <x v="3"/>
    </i>
    <i r="1">
      <x v="4"/>
    </i>
    <i r="1">
      <x v="5"/>
    </i>
    <i r="1">
      <x v="6"/>
    </i>
    <i t="default">
      <x v="3"/>
    </i>
    <i t="grand">
      <x/>
    </i>
  </rowItems>
  <colItems count="1">
    <i/>
  </colItems>
  <dataFields count="1">
    <dataField name="Total Sales ($)" fld="2" baseField="0" baseItem="0" numFmtId="3"/>
  </dataFields>
  <conditionalFormats count="1">
    <conditionalFormat scope="field" type="all" priority="1">
      <pivotAreas count="1">
        <pivotArea outline="0" collapsedLevelsAreSubtotals="1" fieldPosition="0">
          <references count="2">
            <reference field="4294967294" count="1" selected="0">
              <x v="0"/>
            </reference>
            <reference field="4"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2E9140-ADB7-4302-9D0F-54354388A524}" name="PivotTable4"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6">
  <location ref="F11:G15" firstHeaderRow="1" firstDataRow="1" firstDataCol="1"/>
  <pivotFields count="5">
    <pivotField compact="0" numFmtId="14" outline="0"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m="1" x="94"/>
        <item m="1" x="81"/>
        <item m="1" x="65"/>
        <item m="1" x="52"/>
        <item m="1" x="79"/>
        <item m="1" x="64"/>
        <item m="1" x="50"/>
        <item m="1" x="92"/>
        <item m="1" x="63"/>
        <item m="1" x="62"/>
        <item m="1" x="49"/>
        <item m="1" x="91"/>
        <item m="1" x="78"/>
        <item m="1" x="61"/>
        <item m="1" x="48"/>
        <item m="1" x="76"/>
        <item m="1" x="90"/>
        <item m="1" x="103"/>
        <item m="1" x="88"/>
        <item m="1" x="74"/>
        <item m="1" x="77"/>
        <item m="1" x="60"/>
        <item m="1" x="104"/>
        <item m="1" x="89"/>
        <item m="1" x="75"/>
        <item m="1" x="59"/>
        <item m="1" x="102"/>
        <item m="1" x="101"/>
        <item m="1" x="87"/>
        <item m="1" x="85"/>
        <item m="1" x="72"/>
        <item m="1" x="56"/>
        <item m="1" x="99"/>
        <item m="1" x="83"/>
        <item m="1" x="70"/>
        <item m="1" x="54"/>
        <item m="1" x="97"/>
        <item m="1" x="82"/>
        <item m="1" x="68"/>
        <item m="1" x="58"/>
        <item m="1" x="100"/>
        <item m="1" x="86"/>
        <item m="1" x="73"/>
        <item m="1" x="57"/>
        <item m="1" x="84"/>
        <item m="1" x="71"/>
        <item m="1" x="55"/>
        <item m="1" x="98"/>
        <item m="1" x="69"/>
        <item m="1" x="96"/>
        <item m="1" x="67"/>
        <item m="1" x="53"/>
        <item m="1" x="95"/>
        <item m="1" x="66"/>
        <item m="1" x="80"/>
        <item m="1" x="51"/>
        <item m="1" x="93"/>
        <item t="default"/>
      </items>
    </pivotField>
    <pivotField compact="0" outline="0" subtotalTop="0" showAll="0"/>
    <pivotField dataField="1" compact="0" outline="0" subtotalTop="0" showAll="0"/>
    <pivotField compact="0" outline="0" showAll="0"/>
    <pivotField name="Month" axis="axisRow" compact="0" outline="0" showAll="0">
      <items count="15">
        <item x="0"/>
        <item x="1"/>
        <item x="2"/>
        <item x="3"/>
        <item x="4"/>
        <item x="5"/>
        <item x="6"/>
        <item x="7"/>
        <item x="8"/>
        <item x="9"/>
        <item x="10"/>
        <item x="11"/>
        <item x="12"/>
        <item x="13"/>
        <item t="default"/>
      </items>
    </pivotField>
  </pivotFields>
  <rowFields count="1">
    <field x="4"/>
  </rowFields>
  <rowItems count="4">
    <i>
      <x v="1"/>
    </i>
    <i>
      <x v="2"/>
    </i>
    <i>
      <x v="3"/>
    </i>
    <i t="grand">
      <x/>
    </i>
  </rowItems>
  <colItems count="1">
    <i/>
  </colItems>
  <dataFields count="1">
    <dataField name="Total Sales ($)" fld="2" baseField="0" baseItem="0" numFmtId="3"/>
  </dataFields>
  <chartFormats count="6">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4" count="1" selected="0">
            <x v="5"/>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5"/>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9A8CD4-33CF-40D4-904D-65D7EECA40CB}" name="fSales01" displayName="fSales01" ref="B4:D168" totalsRowShown="0" headerRowDxfId="3">
  <autoFilter ref="B4:D168" xr:uid="{F75C33D7-3323-48F9-A607-AADB1FC7BB5D}"/>
  <tableColumns count="3">
    <tableColumn id="1" xr3:uid="{599CE68C-1A38-4518-9F2D-FE38DC850D25}" name="Date" dataDxfId="2"/>
    <tableColumn id="2" xr3:uid="{F94399A8-B0C6-463D-83E7-11153B53CA12}" name="SalesRep"/>
    <tableColumn id="3" xr3:uid="{3E5241B2-778A-403A-9568-D5F3080BD310}" name="Sales ($)"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E1691-0F87-47D9-8F04-1A7157C3FB23}">
  <dimension ref="A2:A30"/>
  <sheetViews>
    <sheetView topLeftCell="A4" workbookViewId="0">
      <selection activeCell="A7" sqref="A7"/>
    </sheetView>
  </sheetViews>
  <sheetFormatPr defaultRowHeight="14.5"/>
  <cols>
    <col min="1" max="1" width="59.81640625" customWidth="1"/>
  </cols>
  <sheetData>
    <row r="2" spans="1:1" ht="18.5">
      <c r="A2" s="65" t="s">
        <v>582</v>
      </c>
    </row>
    <row r="3" spans="1:1" ht="18.5">
      <c r="A3" s="65" t="s">
        <v>581</v>
      </c>
    </row>
    <row r="4" spans="1:1" ht="18.5">
      <c r="A4" s="65" t="s">
        <v>580</v>
      </c>
    </row>
    <row r="5" spans="1:1" ht="18.5">
      <c r="A5" s="65" t="s">
        <v>579</v>
      </c>
    </row>
    <row r="6" spans="1:1" ht="18.5">
      <c r="A6" s="65" t="s">
        <v>578</v>
      </c>
    </row>
    <row r="7" spans="1:1" ht="18.5">
      <c r="A7" s="65" t="s">
        <v>577</v>
      </c>
    </row>
    <row r="8" spans="1:1" ht="18.5">
      <c r="A8" s="65" t="s">
        <v>576</v>
      </c>
    </row>
    <row r="9" spans="1:1" ht="18.5">
      <c r="A9" s="65" t="s">
        <v>575</v>
      </c>
    </row>
    <row r="10" spans="1:1" ht="18.5">
      <c r="A10" s="65" t="s">
        <v>574</v>
      </c>
    </row>
    <row r="11" spans="1:1" ht="18.5">
      <c r="A11" s="65" t="s">
        <v>573</v>
      </c>
    </row>
    <row r="12" spans="1:1" ht="18.5">
      <c r="A12" s="65" t="s">
        <v>572</v>
      </c>
    </row>
    <row r="13" spans="1:1" ht="18.5">
      <c r="A13" s="65" t="s">
        <v>571</v>
      </c>
    </row>
    <row r="15" spans="1:1">
      <c r="A15" s="66" t="s">
        <v>583</v>
      </c>
    </row>
    <row r="16" spans="1:1">
      <c r="A16" s="56" t="s">
        <v>584</v>
      </c>
    </row>
    <row r="17" spans="1:1">
      <c r="A17" s="56" t="s">
        <v>585</v>
      </c>
    </row>
    <row r="18" spans="1:1" ht="29">
      <c r="A18" s="67" t="s">
        <v>586</v>
      </c>
    </row>
    <row r="19" spans="1:1">
      <c r="A19" s="56" t="s">
        <v>587</v>
      </c>
    </row>
    <row r="20" spans="1:1">
      <c r="A20" s="56" t="s">
        <v>588</v>
      </c>
    </row>
    <row r="21" spans="1:1">
      <c r="A21" s="56" t="s">
        <v>589</v>
      </c>
    </row>
    <row r="22" spans="1:1">
      <c r="A22" s="56" t="s">
        <v>590</v>
      </c>
    </row>
    <row r="23" spans="1:1" ht="43.5">
      <c r="A23" s="67" t="s">
        <v>591</v>
      </c>
    </row>
    <row r="24" spans="1:1">
      <c r="A24" s="56" t="s">
        <v>592</v>
      </c>
    </row>
    <row r="25" spans="1:1" ht="29">
      <c r="A25" s="67" t="s">
        <v>593</v>
      </c>
    </row>
    <row r="26" spans="1:1">
      <c r="A26" s="56" t="s">
        <v>594</v>
      </c>
    </row>
    <row r="27" spans="1:1" ht="29">
      <c r="A27" s="67" t="s">
        <v>595</v>
      </c>
    </row>
    <row r="28" spans="1:1">
      <c r="A28" s="56" t="s">
        <v>596</v>
      </c>
    </row>
    <row r="29" spans="1:1">
      <c r="A29" s="68" t="s">
        <v>597</v>
      </c>
    </row>
    <row r="30" spans="1:1">
      <c r="A30" s="68" t="s">
        <v>598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57C66-B39E-4AF3-BE40-1037390340B1}">
  <sheetPr>
    <tabColor rgb="FF0000FF"/>
  </sheetPr>
  <dimension ref="B2:Z170"/>
  <sheetViews>
    <sheetView topLeftCell="V1" workbookViewId="0">
      <selection activeCell="AB14" sqref="AB14"/>
    </sheetView>
  </sheetViews>
  <sheetFormatPr defaultRowHeight="14.5"/>
  <cols>
    <col min="24" max="24" width="16.6328125" customWidth="1"/>
    <col min="25" max="25" width="14.36328125" customWidth="1"/>
  </cols>
  <sheetData>
    <row r="2" spans="2:26">
      <c r="B2" t="s">
        <v>739</v>
      </c>
      <c r="X2" t="s">
        <v>739</v>
      </c>
    </row>
    <row r="3" spans="2:26">
      <c r="B3" t="s">
        <v>740</v>
      </c>
      <c r="X3" t="s">
        <v>740</v>
      </c>
    </row>
    <row r="6" spans="2:26">
      <c r="B6" s="91" t="s">
        <v>705</v>
      </c>
      <c r="C6" s="91" t="s">
        <v>720</v>
      </c>
      <c r="D6" s="91" t="s">
        <v>721</v>
      </c>
      <c r="X6" s="91" t="s">
        <v>705</v>
      </c>
      <c r="Y6" s="91" t="s">
        <v>720</v>
      </c>
      <c r="Z6" s="91" t="s">
        <v>721</v>
      </c>
    </row>
    <row r="7" spans="2:26">
      <c r="B7" s="85">
        <v>44931</v>
      </c>
      <c r="C7" s="56" t="s">
        <v>726</v>
      </c>
      <c r="D7" s="92">
        <v>1645.01</v>
      </c>
      <c r="X7" s="85">
        <v>44931</v>
      </c>
      <c r="Y7" s="56" t="s">
        <v>726</v>
      </c>
      <c r="Z7" s="92">
        <v>1645.01</v>
      </c>
    </row>
    <row r="8" spans="2:26">
      <c r="B8" s="85">
        <v>44932</v>
      </c>
      <c r="C8" s="56" t="s">
        <v>726</v>
      </c>
      <c r="D8" s="92">
        <v>4828.54</v>
      </c>
      <c r="X8" s="85">
        <v>44932</v>
      </c>
      <c r="Y8" s="56" t="s">
        <v>726</v>
      </c>
      <c r="Z8" s="92">
        <v>4828.54</v>
      </c>
    </row>
    <row r="9" spans="2:26">
      <c r="B9" s="85">
        <v>44934</v>
      </c>
      <c r="C9" s="56" t="s">
        <v>723</v>
      </c>
      <c r="D9" s="92">
        <v>3634.56</v>
      </c>
      <c r="X9" s="85">
        <v>44934</v>
      </c>
      <c r="Y9" s="56" t="s">
        <v>723</v>
      </c>
      <c r="Z9" s="92">
        <v>3634.56</v>
      </c>
    </row>
    <row r="10" spans="2:26">
      <c r="B10" s="85">
        <v>44937</v>
      </c>
      <c r="C10" s="56" t="s">
        <v>723</v>
      </c>
      <c r="D10" s="92">
        <v>2713.46</v>
      </c>
      <c r="X10" s="85">
        <v>44937</v>
      </c>
      <c r="Y10" s="56" t="s">
        <v>723</v>
      </c>
      <c r="Z10" s="92">
        <v>2713.46</v>
      </c>
    </row>
    <row r="11" spans="2:26">
      <c r="B11" s="85">
        <v>44939</v>
      </c>
      <c r="C11" s="56" t="s">
        <v>726</v>
      </c>
      <c r="D11" s="92">
        <v>679.07</v>
      </c>
      <c r="X11" s="85">
        <v>44939</v>
      </c>
      <c r="Y11" s="56" t="s">
        <v>726</v>
      </c>
      <c r="Z11" s="92">
        <v>679.07</v>
      </c>
    </row>
    <row r="12" spans="2:26">
      <c r="B12" s="85">
        <v>44939</v>
      </c>
      <c r="C12" s="56" t="s">
        <v>724</v>
      </c>
      <c r="D12" s="92">
        <v>1526.73</v>
      </c>
      <c r="X12" s="85">
        <v>44939</v>
      </c>
      <c r="Y12" s="56" t="s">
        <v>724</v>
      </c>
      <c r="Z12" s="92">
        <v>1526.73</v>
      </c>
    </row>
    <row r="13" spans="2:26">
      <c r="B13" s="85">
        <v>44940</v>
      </c>
      <c r="C13" s="56" t="s">
        <v>724</v>
      </c>
      <c r="D13" s="92">
        <v>3151.76</v>
      </c>
      <c r="X13" s="85">
        <v>44940</v>
      </c>
      <c r="Y13" s="56" t="s">
        <v>724</v>
      </c>
      <c r="Z13" s="92">
        <v>3151.76</v>
      </c>
    </row>
    <row r="14" spans="2:26">
      <c r="B14" s="85">
        <v>44940</v>
      </c>
      <c r="C14" s="56" t="s">
        <v>728</v>
      </c>
      <c r="D14" s="92">
        <v>3554.02</v>
      </c>
      <c r="X14" s="85">
        <v>44940</v>
      </c>
      <c r="Y14" s="56" t="s">
        <v>728</v>
      </c>
      <c r="Z14" s="92">
        <v>3554.02</v>
      </c>
    </row>
    <row r="15" spans="2:26">
      <c r="B15" s="85">
        <v>44940</v>
      </c>
      <c r="C15" s="56" t="s">
        <v>724</v>
      </c>
      <c r="D15" s="92">
        <v>3409.51</v>
      </c>
      <c r="X15" s="85">
        <v>44940</v>
      </c>
      <c r="Y15" s="56" t="s">
        <v>724</v>
      </c>
      <c r="Z15" s="92">
        <v>3409.51</v>
      </c>
    </row>
    <row r="16" spans="2:26">
      <c r="B16" s="85">
        <v>44941</v>
      </c>
      <c r="C16" s="56" t="s">
        <v>723</v>
      </c>
      <c r="D16" s="92">
        <v>3361.29</v>
      </c>
      <c r="X16" s="85">
        <v>44941</v>
      </c>
      <c r="Y16" s="56" t="s">
        <v>723</v>
      </c>
      <c r="Z16" s="92">
        <v>3361.29</v>
      </c>
    </row>
    <row r="17" spans="2:26">
      <c r="B17" s="85">
        <v>44941</v>
      </c>
      <c r="C17" s="56" t="s">
        <v>728</v>
      </c>
      <c r="D17" s="92">
        <v>458.09</v>
      </c>
      <c r="X17" s="85">
        <v>44941</v>
      </c>
      <c r="Y17" s="56" t="s">
        <v>728</v>
      </c>
      <c r="Z17" s="92">
        <v>458.09</v>
      </c>
    </row>
    <row r="18" spans="2:26">
      <c r="B18" s="85">
        <v>44941</v>
      </c>
      <c r="C18" s="56" t="s">
        <v>723</v>
      </c>
      <c r="D18" s="92">
        <v>2140.04</v>
      </c>
      <c r="X18" s="85">
        <v>44941</v>
      </c>
      <c r="Y18" s="56" t="s">
        <v>723</v>
      </c>
      <c r="Z18" s="92">
        <v>2140.04</v>
      </c>
    </row>
    <row r="19" spans="2:26">
      <c r="B19" s="85">
        <v>44943</v>
      </c>
      <c r="C19" s="56" t="s">
        <v>726</v>
      </c>
      <c r="D19" s="92">
        <v>3882.28</v>
      </c>
      <c r="X19" s="85">
        <v>44943</v>
      </c>
      <c r="Y19" s="56" t="s">
        <v>726</v>
      </c>
      <c r="Z19" s="92">
        <v>3882.28</v>
      </c>
    </row>
    <row r="20" spans="2:26">
      <c r="B20" s="85">
        <v>44947</v>
      </c>
      <c r="C20" s="56" t="s">
        <v>723</v>
      </c>
      <c r="D20" s="92">
        <v>1608.7</v>
      </c>
      <c r="X20" s="85">
        <v>44947</v>
      </c>
      <c r="Y20" s="56" t="s">
        <v>723</v>
      </c>
      <c r="Z20" s="92">
        <v>1608.7</v>
      </c>
    </row>
    <row r="21" spans="2:26">
      <c r="B21" s="85">
        <v>44947</v>
      </c>
      <c r="C21" s="56" t="s">
        <v>724</v>
      </c>
      <c r="D21" s="92">
        <v>3223.12</v>
      </c>
      <c r="X21" s="85">
        <v>44947</v>
      </c>
      <c r="Y21" s="56" t="s">
        <v>724</v>
      </c>
      <c r="Z21" s="92">
        <v>3223.12</v>
      </c>
    </row>
    <row r="22" spans="2:26">
      <c r="B22" s="85">
        <v>44948</v>
      </c>
      <c r="C22" s="56" t="s">
        <v>724</v>
      </c>
      <c r="D22" s="92">
        <v>98.57</v>
      </c>
      <c r="X22" s="85">
        <v>44948</v>
      </c>
      <c r="Y22" s="56" t="s">
        <v>724</v>
      </c>
      <c r="Z22" s="92">
        <v>98.57</v>
      </c>
    </row>
    <row r="23" spans="2:26">
      <c r="B23" s="85">
        <v>44948</v>
      </c>
      <c r="C23" s="56" t="s">
        <v>728</v>
      </c>
      <c r="D23" s="92">
        <v>1616.32</v>
      </c>
      <c r="X23" s="85">
        <v>44948</v>
      </c>
      <c r="Y23" s="56" t="s">
        <v>728</v>
      </c>
      <c r="Z23" s="92">
        <v>1616.32</v>
      </c>
    </row>
    <row r="24" spans="2:26">
      <c r="B24" s="85">
        <v>44949</v>
      </c>
      <c r="C24" s="56" t="s">
        <v>723</v>
      </c>
      <c r="D24" s="92">
        <v>2907.42</v>
      </c>
      <c r="X24" s="85">
        <v>44949</v>
      </c>
      <c r="Y24" s="56" t="s">
        <v>723</v>
      </c>
      <c r="Z24" s="92">
        <v>2907.42</v>
      </c>
    </row>
    <row r="25" spans="2:26">
      <c r="B25" s="85">
        <v>44951</v>
      </c>
      <c r="C25" s="56" t="s">
        <v>724</v>
      </c>
      <c r="D25" s="92">
        <v>2384.9699999999998</v>
      </c>
      <c r="X25" s="85">
        <v>44951</v>
      </c>
      <c r="Y25" s="56" t="s">
        <v>724</v>
      </c>
      <c r="Z25" s="92">
        <v>2384.9699999999998</v>
      </c>
    </row>
    <row r="26" spans="2:26">
      <c r="B26" s="85">
        <v>44951</v>
      </c>
      <c r="C26" s="56" t="s">
        <v>726</v>
      </c>
      <c r="D26" s="92">
        <v>4326.08</v>
      </c>
      <c r="X26" s="85">
        <v>44951</v>
      </c>
      <c r="Y26" s="56" t="s">
        <v>726</v>
      </c>
      <c r="Z26" s="92">
        <v>4326.08</v>
      </c>
    </row>
    <row r="27" spans="2:26">
      <c r="B27" s="85">
        <v>44951</v>
      </c>
      <c r="C27" s="56" t="s">
        <v>726</v>
      </c>
      <c r="D27" s="92">
        <v>554.62</v>
      </c>
      <c r="X27" s="85">
        <v>44951</v>
      </c>
      <c r="Y27" s="56" t="s">
        <v>726</v>
      </c>
      <c r="Z27" s="92">
        <v>554.62</v>
      </c>
    </row>
    <row r="28" spans="2:26">
      <c r="B28" s="85">
        <v>44952</v>
      </c>
      <c r="C28" s="56" t="s">
        <v>724</v>
      </c>
      <c r="D28" s="92">
        <v>1904.62</v>
      </c>
      <c r="X28" s="85">
        <v>44952</v>
      </c>
      <c r="Y28" s="56" t="s">
        <v>724</v>
      </c>
      <c r="Z28" s="92">
        <v>1904.62</v>
      </c>
    </row>
    <row r="29" spans="2:26">
      <c r="B29" s="85">
        <v>44952</v>
      </c>
      <c r="C29" s="56" t="s">
        <v>726</v>
      </c>
      <c r="D29" s="92">
        <v>156.34</v>
      </c>
      <c r="X29" s="85">
        <v>44952</v>
      </c>
      <c r="Y29" s="56" t="s">
        <v>726</v>
      </c>
      <c r="Z29" s="92">
        <v>156.34</v>
      </c>
    </row>
    <row r="30" spans="2:26">
      <c r="B30" s="85">
        <v>44953</v>
      </c>
      <c r="C30" s="56" t="s">
        <v>723</v>
      </c>
      <c r="D30" s="92">
        <v>883.34</v>
      </c>
      <c r="X30" s="85">
        <v>44953</v>
      </c>
      <c r="Y30" s="56" t="s">
        <v>723</v>
      </c>
      <c r="Z30" s="92">
        <v>883.34</v>
      </c>
    </row>
    <row r="31" spans="2:26">
      <c r="B31" s="85">
        <v>44955</v>
      </c>
      <c r="C31" s="56" t="s">
        <v>728</v>
      </c>
      <c r="D31" s="92">
        <v>3838.87</v>
      </c>
      <c r="X31" s="85">
        <v>44955</v>
      </c>
      <c r="Y31" s="56" t="s">
        <v>728</v>
      </c>
      <c r="Z31" s="92">
        <v>3838.87</v>
      </c>
    </row>
    <row r="32" spans="2:26">
      <c r="B32" s="85">
        <v>44956</v>
      </c>
      <c r="C32" s="56" t="s">
        <v>723</v>
      </c>
      <c r="D32" s="92">
        <v>787.87</v>
      </c>
      <c r="X32" s="85">
        <v>44956</v>
      </c>
      <c r="Y32" s="56" t="s">
        <v>723</v>
      </c>
      <c r="Z32" s="92">
        <v>787.87</v>
      </c>
    </row>
    <row r="33" spans="2:26">
      <c r="B33" s="85">
        <v>44956</v>
      </c>
      <c r="C33" s="56" t="s">
        <v>724</v>
      </c>
      <c r="D33" s="92">
        <v>3354.4</v>
      </c>
      <c r="X33" s="85">
        <v>44956</v>
      </c>
      <c r="Y33" s="56" t="s">
        <v>724</v>
      </c>
      <c r="Z33" s="92">
        <v>3354.4</v>
      </c>
    </row>
    <row r="34" spans="2:26">
      <c r="B34" s="85">
        <v>44958</v>
      </c>
      <c r="C34" s="56" t="s">
        <v>728</v>
      </c>
      <c r="D34" s="92">
        <v>4467.0200000000004</v>
      </c>
      <c r="X34" s="85">
        <v>44958</v>
      </c>
      <c r="Y34" s="56" t="s">
        <v>728</v>
      </c>
      <c r="Z34" s="92">
        <v>4467.0200000000004</v>
      </c>
    </row>
    <row r="35" spans="2:26">
      <c r="B35" s="85">
        <v>44958</v>
      </c>
      <c r="C35" s="56" t="s">
        <v>726</v>
      </c>
      <c r="D35" s="92">
        <v>4434.0600000000004</v>
      </c>
      <c r="X35" s="85">
        <v>44958</v>
      </c>
      <c r="Y35" s="56" t="s">
        <v>726</v>
      </c>
      <c r="Z35" s="92">
        <v>4434.0600000000004</v>
      </c>
    </row>
    <row r="36" spans="2:26">
      <c r="B36" s="85">
        <v>44959</v>
      </c>
      <c r="C36" s="56" t="s">
        <v>726</v>
      </c>
      <c r="D36" s="92">
        <v>1970.14</v>
      </c>
      <c r="X36" s="85">
        <v>44959</v>
      </c>
      <c r="Y36" s="56" t="s">
        <v>726</v>
      </c>
      <c r="Z36" s="92">
        <v>1970.14</v>
      </c>
    </row>
    <row r="37" spans="2:26">
      <c r="B37" s="85">
        <v>44959</v>
      </c>
      <c r="C37" s="56" t="s">
        <v>723</v>
      </c>
      <c r="D37" s="92">
        <v>2066.4299999999998</v>
      </c>
      <c r="X37" s="85">
        <v>44959</v>
      </c>
      <c r="Y37" s="56" t="s">
        <v>723</v>
      </c>
      <c r="Z37" s="92">
        <v>2066.4299999999998</v>
      </c>
    </row>
    <row r="38" spans="2:26">
      <c r="B38" s="85">
        <v>44960</v>
      </c>
      <c r="C38" s="56" t="s">
        <v>723</v>
      </c>
      <c r="D38" s="92">
        <v>1797.46</v>
      </c>
      <c r="X38" s="85">
        <v>44960</v>
      </c>
      <c r="Y38" s="56" t="s">
        <v>723</v>
      </c>
      <c r="Z38" s="92">
        <v>1797.46</v>
      </c>
    </row>
    <row r="39" spans="2:26">
      <c r="B39" s="85">
        <v>44960</v>
      </c>
      <c r="C39" s="56" t="s">
        <v>726</v>
      </c>
      <c r="D39" s="92">
        <v>1635.13</v>
      </c>
      <c r="X39" s="85">
        <v>44960</v>
      </c>
      <c r="Y39" s="56" t="s">
        <v>726</v>
      </c>
      <c r="Z39" s="92">
        <v>1635.13</v>
      </c>
    </row>
    <row r="40" spans="2:26">
      <c r="B40" s="85">
        <v>44960</v>
      </c>
      <c r="C40" s="56" t="s">
        <v>723</v>
      </c>
      <c r="D40" s="92">
        <v>3389.24</v>
      </c>
      <c r="X40" s="85">
        <v>44960</v>
      </c>
      <c r="Y40" s="56" t="s">
        <v>723</v>
      </c>
      <c r="Z40" s="92">
        <v>3389.24</v>
      </c>
    </row>
    <row r="41" spans="2:26">
      <c r="B41" s="85">
        <v>44962</v>
      </c>
      <c r="C41" s="56" t="s">
        <v>728</v>
      </c>
      <c r="D41" s="92">
        <v>1775.61</v>
      </c>
      <c r="X41" s="85">
        <v>44962</v>
      </c>
      <c r="Y41" s="56" t="s">
        <v>728</v>
      </c>
      <c r="Z41" s="92">
        <v>1775.61</v>
      </c>
    </row>
    <row r="42" spans="2:26">
      <c r="B42" s="85">
        <v>44964</v>
      </c>
      <c r="C42" s="56" t="s">
        <v>726</v>
      </c>
      <c r="D42" s="92">
        <v>67.38</v>
      </c>
      <c r="X42" s="85">
        <v>44964</v>
      </c>
      <c r="Y42" s="56" t="s">
        <v>726</v>
      </c>
      <c r="Z42" s="92">
        <v>67.38</v>
      </c>
    </row>
    <row r="43" spans="2:26">
      <c r="B43" s="85">
        <v>44964</v>
      </c>
      <c r="C43" s="56" t="s">
        <v>728</v>
      </c>
      <c r="D43" s="92">
        <v>1363.2</v>
      </c>
      <c r="X43" s="85">
        <v>44964</v>
      </c>
      <c r="Y43" s="56" t="s">
        <v>728</v>
      </c>
      <c r="Z43" s="92">
        <v>1363.2</v>
      </c>
    </row>
    <row r="44" spans="2:26">
      <c r="B44" s="85">
        <v>44964</v>
      </c>
      <c r="C44" s="56" t="s">
        <v>724</v>
      </c>
      <c r="D44" s="92">
        <v>1854.64</v>
      </c>
      <c r="X44" s="85">
        <v>44964</v>
      </c>
      <c r="Y44" s="56" t="s">
        <v>724</v>
      </c>
      <c r="Z44" s="92">
        <v>1854.64</v>
      </c>
    </row>
    <row r="45" spans="2:26">
      <c r="B45" s="85">
        <v>44965</v>
      </c>
      <c r="C45" s="56" t="s">
        <v>728</v>
      </c>
      <c r="D45" s="92">
        <v>1450.63</v>
      </c>
      <c r="X45" s="85">
        <v>44965</v>
      </c>
      <c r="Y45" s="56" t="s">
        <v>728</v>
      </c>
      <c r="Z45" s="92">
        <v>1450.63</v>
      </c>
    </row>
    <row r="46" spans="2:26">
      <c r="B46" s="85">
        <v>44965</v>
      </c>
      <c r="C46" s="56" t="s">
        <v>723</v>
      </c>
      <c r="D46" s="92">
        <v>1818.23</v>
      </c>
      <c r="X46" s="85">
        <v>44965</v>
      </c>
      <c r="Y46" s="56" t="s">
        <v>723</v>
      </c>
      <c r="Z46" s="92">
        <v>1818.23</v>
      </c>
    </row>
    <row r="47" spans="2:26">
      <c r="B47" s="85">
        <v>44965</v>
      </c>
      <c r="C47" s="56" t="s">
        <v>723</v>
      </c>
      <c r="D47" s="92">
        <v>4546.43</v>
      </c>
      <c r="X47" s="85">
        <v>44965</v>
      </c>
      <c r="Y47" s="56" t="s">
        <v>723</v>
      </c>
      <c r="Z47" s="92">
        <v>4546.43</v>
      </c>
    </row>
    <row r="48" spans="2:26">
      <c r="B48" s="85">
        <v>44966</v>
      </c>
      <c r="C48" s="56" t="s">
        <v>724</v>
      </c>
      <c r="D48" s="92">
        <v>4710.5200000000004</v>
      </c>
      <c r="X48" s="85">
        <v>44966</v>
      </c>
      <c r="Y48" s="56" t="s">
        <v>724</v>
      </c>
      <c r="Z48" s="92">
        <v>4710.5200000000004</v>
      </c>
    </row>
    <row r="49" spans="2:26">
      <c r="B49" s="85">
        <v>44969</v>
      </c>
      <c r="C49" s="56" t="s">
        <v>724</v>
      </c>
      <c r="D49" s="92">
        <v>1482.88</v>
      </c>
      <c r="X49" s="85">
        <v>44969</v>
      </c>
      <c r="Y49" s="56" t="s">
        <v>724</v>
      </c>
      <c r="Z49" s="92">
        <v>1482.88</v>
      </c>
    </row>
    <row r="50" spans="2:26">
      <c r="B50" s="85">
        <v>44969</v>
      </c>
      <c r="C50" s="56" t="s">
        <v>728</v>
      </c>
      <c r="D50" s="92">
        <v>2322.23</v>
      </c>
      <c r="X50" s="85">
        <v>44969</v>
      </c>
      <c r="Y50" s="56" t="s">
        <v>728</v>
      </c>
      <c r="Z50" s="92">
        <v>2322.23</v>
      </c>
    </row>
    <row r="51" spans="2:26">
      <c r="B51" s="85">
        <v>44970</v>
      </c>
      <c r="C51" s="56" t="s">
        <v>728</v>
      </c>
      <c r="D51" s="92">
        <v>1561.53</v>
      </c>
      <c r="X51" s="85">
        <v>44970</v>
      </c>
      <c r="Y51" s="56" t="s">
        <v>728</v>
      </c>
      <c r="Z51" s="92">
        <v>1561.53</v>
      </c>
    </row>
    <row r="52" spans="2:26">
      <c r="B52" s="85">
        <v>44971</v>
      </c>
      <c r="C52" s="56" t="s">
        <v>724</v>
      </c>
      <c r="D52" s="92">
        <v>4510.13</v>
      </c>
      <c r="X52" s="85">
        <v>44971</v>
      </c>
      <c r="Y52" s="56" t="s">
        <v>724</v>
      </c>
      <c r="Z52" s="92">
        <v>4510.13</v>
      </c>
    </row>
    <row r="53" spans="2:26">
      <c r="B53" s="85">
        <v>44971</v>
      </c>
      <c r="C53" s="56" t="s">
        <v>728</v>
      </c>
      <c r="D53" s="92">
        <v>1576.29</v>
      </c>
      <c r="X53" s="85">
        <v>44971</v>
      </c>
      <c r="Y53" s="56" t="s">
        <v>728</v>
      </c>
      <c r="Z53" s="92">
        <v>1576.29</v>
      </c>
    </row>
    <row r="54" spans="2:26">
      <c r="B54" s="85">
        <v>44972</v>
      </c>
      <c r="C54" s="56" t="s">
        <v>726</v>
      </c>
      <c r="D54" s="92">
        <v>4297.68</v>
      </c>
      <c r="X54" s="85">
        <v>44972</v>
      </c>
      <c r="Y54" s="56" t="s">
        <v>726</v>
      </c>
      <c r="Z54" s="92">
        <v>4297.68</v>
      </c>
    </row>
    <row r="55" spans="2:26">
      <c r="B55" s="85">
        <v>44973</v>
      </c>
      <c r="C55" s="56" t="s">
        <v>723</v>
      </c>
      <c r="D55" s="92">
        <v>43.43</v>
      </c>
      <c r="X55" s="85">
        <v>44973</v>
      </c>
      <c r="Y55" s="56" t="s">
        <v>723</v>
      </c>
      <c r="Z55" s="92">
        <v>43.43</v>
      </c>
    </row>
    <row r="56" spans="2:26">
      <c r="B56" s="85">
        <v>44973</v>
      </c>
      <c r="C56" s="56" t="s">
        <v>726</v>
      </c>
      <c r="D56" s="92">
        <v>740.43</v>
      </c>
      <c r="X56" s="85">
        <v>44973</v>
      </c>
      <c r="Y56" s="56" t="s">
        <v>726</v>
      </c>
      <c r="Z56" s="92">
        <v>740.43</v>
      </c>
    </row>
    <row r="57" spans="2:26">
      <c r="B57" s="85">
        <v>44979</v>
      </c>
      <c r="C57" s="56" t="s">
        <v>728</v>
      </c>
      <c r="D57" s="92">
        <v>554.48</v>
      </c>
      <c r="X57" s="85">
        <v>44979</v>
      </c>
      <c r="Y57" s="56" t="s">
        <v>728</v>
      </c>
      <c r="Z57" s="92">
        <v>554.48</v>
      </c>
    </row>
    <row r="58" spans="2:26">
      <c r="B58" s="85">
        <v>44979</v>
      </c>
      <c r="C58" s="56" t="s">
        <v>723</v>
      </c>
      <c r="D58" s="92">
        <v>3194.89</v>
      </c>
      <c r="X58" s="85">
        <v>44979</v>
      </c>
      <c r="Y58" s="56" t="s">
        <v>723</v>
      </c>
      <c r="Z58" s="92">
        <v>3194.89</v>
      </c>
    </row>
    <row r="59" spans="2:26">
      <c r="B59" s="85">
        <v>44980</v>
      </c>
      <c r="C59" s="56" t="s">
        <v>728</v>
      </c>
      <c r="D59" s="92">
        <v>4063.91</v>
      </c>
      <c r="X59" s="85">
        <v>44980</v>
      </c>
      <c r="Y59" s="56" t="s">
        <v>728</v>
      </c>
      <c r="Z59" s="92">
        <v>4063.91</v>
      </c>
    </row>
    <row r="60" spans="2:26">
      <c r="B60" s="85">
        <v>44981</v>
      </c>
      <c r="C60" s="56" t="s">
        <v>724</v>
      </c>
      <c r="D60" s="92">
        <v>697.75</v>
      </c>
      <c r="X60" s="85">
        <v>44981</v>
      </c>
      <c r="Y60" s="56" t="s">
        <v>724</v>
      </c>
      <c r="Z60" s="92">
        <v>697.75</v>
      </c>
    </row>
    <row r="61" spans="2:26">
      <c r="B61" s="85">
        <v>44982</v>
      </c>
      <c r="C61" s="56" t="s">
        <v>723</v>
      </c>
      <c r="D61" s="92">
        <v>2938.14</v>
      </c>
      <c r="X61" s="85">
        <v>44982</v>
      </c>
      <c r="Y61" s="56" t="s">
        <v>723</v>
      </c>
      <c r="Z61" s="92">
        <v>2938.14</v>
      </c>
    </row>
    <row r="62" spans="2:26">
      <c r="B62" s="85">
        <v>44982</v>
      </c>
      <c r="C62" s="56" t="s">
        <v>728</v>
      </c>
      <c r="D62" s="92">
        <v>2738.8</v>
      </c>
      <c r="X62" s="85">
        <v>44982</v>
      </c>
      <c r="Y62" s="56" t="s">
        <v>728</v>
      </c>
      <c r="Z62" s="92">
        <v>2738.8</v>
      </c>
    </row>
    <row r="63" spans="2:26">
      <c r="B63" s="85">
        <v>44986</v>
      </c>
      <c r="C63" s="56" t="s">
        <v>724</v>
      </c>
      <c r="D63" s="92">
        <v>4690.49</v>
      </c>
      <c r="X63" s="85">
        <v>44986</v>
      </c>
      <c r="Y63" s="56" t="s">
        <v>724</v>
      </c>
      <c r="Z63" s="92">
        <v>4690.49</v>
      </c>
    </row>
    <row r="64" spans="2:26">
      <c r="B64" s="85">
        <v>44987</v>
      </c>
      <c r="C64" s="56" t="s">
        <v>726</v>
      </c>
      <c r="D64" s="92">
        <v>1777.52</v>
      </c>
      <c r="X64" s="85">
        <v>44987</v>
      </c>
      <c r="Y64" s="56" t="s">
        <v>726</v>
      </c>
      <c r="Z64" s="92">
        <v>1777.52</v>
      </c>
    </row>
    <row r="65" spans="2:26">
      <c r="B65" s="85">
        <v>44990</v>
      </c>
      <c r="C65" s="56" t="s">
        <v>724</v>
      </c>
      <c r="D65" s="92">
        <v>4294.17</v>
      </c>
      <c r="X65" s="85">
        <v>44990</v>
      </c>
      <c r="Y65" s="56" t="s">
        <v>724</v>
      </c>
      <c r="Z65" s="92">
        <v>4294.17</v>
      </c>
    </row>
    <row r="66" spans="2:26">
      <c r="B66" s="85">
        <v>44993</v>
      </c>
      <c r="C66" s="56" t="s">
        <v>726</v>
      </c>
      <c r="D66" s="92">
        <v>3709.57</v>
      </c>
      <c r="X66" s="85">
        <v>44993</v>
      </c>
      <c r="Y66" s="56" t="s">
        <v>726</v>
      </c>
      <c r="Z66" s="92">
        <v>3709.57</v>
      </c>
    </row>
    <row r="67" spans="2:26">
      <c r="B67" s="85">
        <v>44994</v>
      </c>
      <c r="C67" s="56" t="s">
        <v>728</v>
      </c>
      <c r="D67" s="92">
        <v>2200.5300000000002</v>
      </c>
      <c r="X67" s="85">
        <v>44994</v>
      </c>
      <c r="Y67" s="56" t="s">
        <v>728</v>
      </c>
      <c r="Z67" s="92">
        <v>2200.5300000000002</v>
      </c>
    </row>
    <row r="68" spans="2:26">
      <c r="B68" s="85">
        <v>44997</v>
      </c>
      <c r="C68" s="56" t="s">
        <v>723</v>
      </c>
      <c r="D68" s="92">
        <v>4410.6099999999997</v>
      </c>
      <c r="X68" s="85">
        <v>44997</v>
      </c>
      <c r="Y68" s="56" t="s">
        <v>723</v>
      </c>
      <c r="Z68" s="92">
        <v>4410.6099999999997</v>
      </c>
    </row>
    <row r="69" spans="2:26">
      <c r="B69" s="85">
        <v>44997</v>
      </c>
      <c r="C69" s="56" t="s">
        <v>728</v>
      </c>
      <c r="D69" s="92">
        <v>4752.4799999999996</v>
      </c>
      <c r="X69" s="85">
        <v>44997</v>
      </c>
      <c r="Y69" s="56" t="s">
        <v>728</v>
      </c>
      <c r="Z69" s="92">
        <v>4752.4799999999996</v>
      </c>
    </row>
    <row r="70" spans="2:26">
      <c r="B70" s="85">
        <v>44998</v>
      </c>
      <c r="C70" s="56" t="s">
        <v>724</v>
      </c>
      <c r="D70" s="92">
        <v>3170.86</v>
      </c>
      <c r="X70" s="85">
        <v>44998</v>
      </c>
      <c r="Y70" s="56" t="s">
        <v>724</v>
      </c>
      <c r="Z70" s="92">
        <v>3170.86</v>
      </c>
    </row>
    <row r="71" spans="2:26">
      <c r="B71" s="85">
        <v>44999</v>
      </c>
      <c r="C71" s="56" t="s">
        <v>723</v>
      </c>
      <c r="D71" s="92">
        <v>2539.84</v>
      </c>
      <c r="X71" s="85">
        <v>44999</v>
      </c>
      <c r="Y71" s="56" t="s">
        <v>723</v>
      </c>
      <c r="Z71" s="92">
        <v>2539.84</v>
      </c>
    </row>
    <row r="72" spans="2:26">
      <c r="B72" s="85">
        <v>45000</v>
      </c>
      <c r="C72" s="56" t="s">
        <v>726</v>
      </c>
      <c r="D72" s="92">
        <v>2026.19</v>
      </c>
      <c r="X72" s="85">
        <v>45000</v>
      </c>
      <c r="Y72" s="56" t="s">
        <v>726</v>
      </c>
      <c r="Z72" s="92">
        <v>2026.19</v>
      </c>
    </row>
    <row r="73" spans="2:26">
      <c r="B73" s="85">
        <v>45001</v>
      </c>
      <c r="C73" s="56" t="s">
        <v>723</v>
      </c>
      <c r="D73" s="92">
        <v>3367.39</v>
      </c>
      <c r="X73" s="85">
        <v>45001</v>
      </c>
      <c r="Y73" s="56" t="s">
        <v>723</v>
      </c>
      <c r="Z73" s="92">
        <v>3367.39</v>
      </c>
    </row>
    <row r="74" spans="2:26">
      <c r="B74" s="85">
        <v>45001</v>
      </c>
      <c r="C74" s="56" t="s">
        <v>724</v>
      </c>
      <c r="D74" s="92">
        <v>494.38</v>
      </c>
      <c r="X74" s="85">
        <v>45001</v>
      </c>
      <c r="Y74" s="56" t="s">
        <v>724</v>
      </c>
      <c r="Z74" s="92">
        <v>494.38</v>
      </c>
    </row>
    <row r="75" spans="2:26">
      <c r="B75" s="85">
        <v>45004</v>
      </c>
      <c r="C75" s="56" t="s">
        <v>728</v>
      </c>
      <c r="D75" s="92">
        <v>4499.43</v>
      </c>
      <c r="X75" s="85">
        <v>45004</v>
      </c>
      <c r="Y75" s="56" t="s">
        <v>728</v>
      </c>
      <c r="Z75" s="92">
        <v>4499.43</v>
      </c>
    </row>
    <row r="76" spans="2:26">
      <c r="B76" s="85">
        <v>45009</v>
      </c>
      <c r="C76" s="56" t="s">
        <v>726</v>
      </c>
      <c r="D76" s="92">
        <v>1723.54</v>
      </c>
      <c r="X76" s="85">
        <v>45009</v>
      </c>
      <c r="Y76" s="56" t="s">
        <v>726</v>
      </c>
      <c r="Z76" s="92">
        <v>1723.54</v>
      </c>
    </row>
    <row r="77" spans="2:26">
      <c r="B77" s="85">
        <v>45011</v>
      </c>
      <c r="C77" s="56" t="s">
        <v>724</v>
      </c>
      <c r="D77" s="92">
        <v>3263.26</v>
      </c>
      <c r="X77" s="85">
        <v>45011</v>
      </c>
      <c r="Y77" s="56" t="s">
        <v>724</v>
      </c>
      <c r="Z77" s="92">
        <v>3263.26</v>
      </c>
    </row>
    <row r="78" spans="2:26">
      <c r="B78" s="85">
        <v>45012</v>
      </c>
      <c r="C78" s="56" t="s">
        <v>724</v>
      </c>
      <c r="D78" s="92">
        <v>2859.62</v>
      </c>
      <c r="X78" s="85">
        <v>45012</v>
      </c>
      <c r="Y78" s="56" t="s">
        <v>724</v>
      </c>
      <c r="Z78" s="92">
        <v>2859.62</v>
      </c>
    </row>
    <row r="79" spans="2:26">
      <c r="B79" s="85">
        <v>45013</v>
      </c>
      <c r="C79" s="56" t="s">
        <v>728</v>
      </c>
      <c r="D79" s="92">
        <v>2220.35</v>
      </c>
      <c r="X79" s="85">
        <v>45013</v>
      </c>
      <c r="Y79" s="56" t="s">
        <v>728</v>
      </c>
      <c r="Z79" s="92">
        <v>2220.35</v>
      </c>
    </row>
    <row r="80" spans="2:26">
      <c r="B80" s="85">
        <v>45014</v>
      </c>
      <c r="C80" s="56" t="s">
        <v>726</v>
      </c>
      <c r="D80" s="92">
        <v>4272.3999999999996</v>
      </c>
      <c r="X80" s="85">
        <v>45014</v>
      </c>
      <c r="Y80" s="56" t="s">
        <v>726</v>
      </c>
      <c r="Z80" s="92">
        <v>4272.3999999999996</v>
      </c>
    </row>
    <row r="81" spans="2:26">
      <c r="B81" s="85">
        <v>45014</v>
      </c>
      <c r="C81" s="56" t="s">
        <v>728</v>
      </c>
      <c r="D81" s="92">
        <v>2574.33</v>
      </c>
      <c r="X81" s="85">
        <v>45014</v>
      </c>
      <c r="Y81" s="56" t="s">
        <v>728</v>
      </c>
      <c r="Z81" s="92">
        <v>2574.33</v>
      </c>
    </row>
    <row r="82" spans="2:26">
      <c r="B82" s="85">
        <v>45017</v>
      </c>
      <c r="C82" s="56" t="s">
        <v>723</v>
      </c>
      <c r="D82" s="92">
        <v>4151.47</v>
      </c>
      <c r="X82" s="85">
        <v>45017</v>
      </c>
      <c r="Y82" s="56" t="s">
        <v>723</v>
      </c>
      <c r="Z82" s="92">
        <v>4151.47</v>
      </c>
    </row>
    <row r="83" spans="2:26">
      <c r="B83" s="85">
        <v>45017</v>
      </c>
      <c r="C83" s="56" t="s">
        <v>728</v>
      </c>
      <c r="D83" s="92">
        <v>5229.01</v>
      </c>
      <c r="X83" s="85">
        <v>45017</v>
      </c>
      <c r="Y83" s="56" t="s">
        <v>728</v>
      </c>
      <c r="Z83" s="92">
        <v>5229.01</v>
      </c>
    </row>
    <row r="84" spans="2:26">
      <c r="B84" s="85">
        <v>45018</v>
      </c>
      <c r="C84" s="56" t="s">
        <v>723</v>
      </c>
      <c r="D84" s="92">
        <v>4213.6499999999996</v>
      </c>
      <c r="X84" s="85">
        <v>45018</v>
      </c>
      <c r="Y84" s="56" t="s">
        <v>723</v>
      </c>
      <c r="Z84" s="92">
        <v>4213.6499999999996</v>
      </c>
    </row>
    <row r="85" spans="2:26">
      <c r="B85" s="85">
        <v>45019</v>
      </c>
      <c r="C85" s="56" t="s">
        <v>728</v>
      </c>
      <c r="D85" s="92">
        <v>1616.68</v>
      </c>
      <c r="X85" s="85">
        <v>45019</v>
      </c>
      <c r="Y85" s="56" t="s">
        <v>728</v>
      </c>
      <c r="Z85" s="92">
        <v>1616.68</v>
      </c>
    </row>
    <row r="86" spans="2:26">
      <c r="B86" s="85">
        <v>45020</v>
      </c>
      <c r="C86" s="56" t="s">
        <v>726</v>
      </c>
      <c r="D86" s="92">
        <v>2320.8000000000002</v>
      </c>
      <c r="X86" s="85">
        <v>45020</v>
      </c>
      <c r="Y86" s="56" t="s">
        <v>726</v>
      </c>
      <c r="Z86" s="92">
        <v>2320.8000000000002</v>
      </c>
    </row>
    <row r="87" spans="2:26">
      <c r="B87" s="85">
        <v>45022</v>
      </c>
      <c r="C87" s="56" t="s">
        <v>723</v>
      </c>
      <c r="D87" s="92">
        <v>3164.17</v>
      </c>
      <c r="X87" s="85">
        <v>45022</v>
      </c>
      <c r="Y87" s="56" t="s">
        <v>723</v>
      </c>
      <c r="Z87" s="92">
        <v>3164.17</v>
      </c>
    </row>
    <row r="88" spans="2:26">
      <c r="B88" s="85">
        <v>45022</v>
      </c>
      <c r="C88" s="56" t="s">
        <v>724</v>
      </c>
      <c r="D88" s="92">
        <v>4672.2</v>
      </c>
      <c r="X88" s="85">
        <v>45022</v>
      </c>
      <c r="Y88" s="56" t="s">
        <v>724</v>
      </c>
      <c r="Z88" s="92">
        <v>4672.2</v>
      </c>
    </row>
    <row r="89" spans="2:26">
      <c r="B89" s="85">
        <v>45023</v>
      </c>
      <c r="C89" s="56" t="s">
        <v>724</v>
      </c>
      <c r="D89" s="92">
        <v>3544.53</v>
      </c>
      <c r="X89" s="85">
        <v>45023</v>
      </c>
      <c r="Y89" s="56" t="s">
        <v>724</v>
      </c>
      <c r="Z89" s="92">
        <v>3544.53</v>
      </c>
    </row>
    <row r="90" spans="2:26">
      <c r="B90" s="85">
        <v>45024</v>
      </c>
      <c r="C90" s="56" t="s">
        <v>723</v>
      </c>
      <c r="D90" s="92">
        <v>4532.2299999999996</v>
      </c>
      <c r="X90" s="85">
        <v>45024</v>
      </c>
      <c r="Y90" s="56" t="s">
        <v>723</v>
      </c>
      <c r="Z90" s="92">
        <v>4532.2299999999996</v>
      </c>
    </row>
    <row r="91" spans="2:26">
      <c r="B91" s="85">
        <v>45025</v>
      </c>
      <c r="C91" s="56" t="s">
        <v>726</v>
      </c>
      <c r="D91" s="92">
        <v>2321.62</v>
      </c>
      <c r="X91" s="85">
        <v>45025</v>
      </c>
      <c r="Y91" s="56" t="s">
        <v>726</v>
      </c>
      <c r="Z91" s="92">
        <v>2321.62</v>
      </c>
    </row>
    <row r="92" spans="2:26">
      <c r="B92" s="85">
        <v>45027</v>
      </c>
      <c r="C92" s="56" t="s">
        <v>726</v>
      </c>
      <c r="D92" s="92">
        <v>3939.16</v>
      </c>
      <c r="X92" s="85">
        <v>45027</v>
      </c>
      <c r="Y92" s="56" t="s">
        <v>726</v>
      </c>
      <c r="Z92" s="92">
        <v>3939.16</v>
      </c>
    </row>
    <row r="93" spans="2:26">
      <c r="B93" s="85">
        <v>45031</v>
      </c>
      <c r="C93" s="56" t="s">
        <v>723</v>
      </c>
      <c r="D93" s="92">
        <v>2980.75</v>
      </c>
      <c r="X93" s="85">
        <v>45031</v>
      </c>
      <c r="Y93" s="56" t="s">
        <v>723</v>
      </c>
      <c r="Z93" s="92">
        <v>2980.75</v>
      </c>
    </row>
    <row r="94" spans="2:26">
      <c r="B94" s="85">
        <v>45032</v>
      </c>
      <c r="C94" s="56" t="s">
        <v>728</v>
      </c>
      <c r="D94" s="92">
        <v>3062.21</v>
      </c>
      <c r="X94" s="85">
        <v>45032</v>
      </c>
      <c r="Y94" s="56" t="s">
        <v>728</v>
      </c>
      <c r="Z94" s="92">
        <v>3062.21</v>
      </c>
    </row>
    <row r="95" spans="2:26">
      <c r="B95" s="85">
        <v>45033</v>
      </c>
      <c r="C95" s="56" t="s">
        <v>728</v>
      </c>
      <c r="D95" s="92">
        <v>6239.21</v>
      </c>
      <c r="X95" s="85">
        <v>45033</v>
      </c>
      <c r="Y95" s="56" t="s">
        <v>728</v>
      </c>
      <c r="Z95" s="92">
        <v>6239.21</v>
      </c>
    </row>
    <row r="96" spans="2:26">
      <c r="B96" s="85">
        <v>45034</v>
      </c>
      <c r="C96" s="56" t="s">
        <v>723</v>
      </c>
      <c r="D96" s="92">
        <v>2906.82</v>
      </c>
      <c r="X96" s="85">
        <v>45034</v>
      </c>
      <c r="Y96" s="56" t="s">
        <v>723</v>
      </c>
      <c r="Z96" s="92">
        <v>2906.82</v>
      </c>
    </row>
    <row r="97" spans="2:26">
      <c r="B97" s="85">
        <v>45035</v>
      </c>
      <c r="C97" s="56" t="s">
        <v>728</v>
      </c>
      <c r="D97" s="92">
        <v>5812.71</v>
      </c>
      <c r="X97" s="85">
        <v>45035</v>
      </c>
      <c r="Y97" s="56" t="s">
        <v>728</v>
      </c>
      <c r="Z97" s="92">
        <v>5812.71</v>
      </c>
    </row>
    <row r="98" spans="2:26">
      <c r="B98" s="85">
        <v>45036</v>
      </c>
      <c r="C98" s="56" t="s">
        <v>723</v>
      </c>
      <c r="D98" s="92">
        <v>2248.7800000000002</v>
      </c>
      <c r="X98" s="85">
        <v>45036</v>
      </c>
      <c r="Y98" s="56" t="s">
        <v>723</v>
      </c>
      <c r="Z98" s="92">
        <v>2248.7800000000002</v>
      </c>
    </row>
    <row r="99" spans="2:26">
      <c r="B99" s="85">
        <v>45036</v>
      </c>
      <c r="C99" s="56" t="s">
        <v>723</v>
      </c>
      <c r="D99" s="92">
        <v>4344.4399999999996</v>
      </c>
      <c r="X99" s="85">
        <v>45036</v>
      </c>
      <c r="Y99" s="56" t="s">
        <v>723</v>
      </c>
      <c r="Z99" s="92">
        <v>4344.4399999999996</v>
      </c>
    </row>
    <row r="100" spans="2:26">
      <c r="B100" s="85">
        <v>45036</v>
      </c>
      <c r="C100" s="56" t="s">
        <v>726</v>
      </c>
      <c r="D100" s="92">
        <v>6139.01</v>
      </c>
      <c r="X100" s="85">
        <v>45036</v>
      </c>
      <c r="Y100" s="56" t="s">
        <v>726</v>
      </c>
      <c r="Z100" s="92">
        <v>6139.01</v>
      </c>
    </row>
    <row r="101" spans="2:26">
      <c r="B101" s="85">
        <v>45038</v>
      </c>
      <c r="C101" s="56" t="s">
        <v>724</v>
      </c>
      <c r="D101" s="92">
        <v>4981.83</v>
      </c>
      <c r="X101" s="85">
        <v>45038</v>
      </c>
      <c r="Y101" s="56" t="s">
        <v>724</v>
      </c>
      <c r="Z101" s="92">
        <v>4981.83</v>
      </c>
    </row>
    <row r="102" spans="2:26">
      <c r="B102" s="85">
        <v>45041</v>
      </c>
      <c r="C102" s="56" t="s">
        <v>728</v>
      </c>
      <c r="D102" s="92">
        <v>3066.47</v>
      </c>
      <c r="X102" s="85">
        <v>45041</v>
      </c>
      <c r="Y102" s="56" t="s">
        <v>728</v>
      </c>
      <c r="Z102" s="92">
        <v>3066.47</v>
      </c>
    </row>
    <row r="103" spans="2:26">
      <c r="B103" s="85">
        <v>45041</v>
      </c>
      <c r="C103" s="56" t="s">
        <v>723</v>
      </c>
      <c r="D103" s="92">
        <v>2925.87</v>
      </c>
      <c r="X103" s="85">
        <v>45041</v>
      </c>
      <c r="Y103" s="56" t="s">
        <v>723</v>
      </c>
      <c r="Z103" s="92">
        <v>2925.87</v>
      </c>
    </row>
    <row r="104" spans="2:26">
      <c r="B104" s="85">
        <v>45044</v>
      </c>
      <c r="C104" s="56" t="s">
        <v>726</v>
      </c>
      <c r="D104" s="92">
        <v>3360.52</v>
      </c>
      <c r="X104" s="85">
        <v>45044</v>
      </c>
      <c r="Y104" s="56" t="s">
        <v>726</v>
      </c>
      <c r="Z104" s="92">
        <v>3360.52</v>
      </c>
    </row>
    <row r="105" spans="2:26">
      <c r="B105" s="85">
        <v>45045</v>
      </c>
      <c r="C105" s="56" t="s">
        <v>724</v>
      </c>
      <c r="D105" s="92">
        <v>3676.99</v>
      </c>
      <c r="X105" s="85">
        <v>45045</v>
      </c>
      <c r="Y105" s="56" t="s">
        <v>724</v>
      </c>
      <c r="Z105" s="92">
        <v>3676.99</v>
      </c>
    </row>
    <row r="106" spans="2:26">
      <c r="B106" s="85">
        <v>45045</v>
      </c>
      <c r="C106" s="56" t="s">
        <v>724</v>
      </c>
      <c r="D106" s="92">
        <v>6476.19</v>
      </c>
      <c r="X106" s="85">
        <v>45045</v>
      </c>
      <c r="Y106" s="56" t="s">
        <v>724</v>
      </c>
      <c r="Z106" s="92">
        <v>6476.19</v>
      </c>
    </row>
    <row r="107" spans="2:26">
      <c r="B107" s="85">
        <v>45045</v>
      </c>
      <c r="C107" s="56" t="s">
        <v>723</v>
      </c>
      <c r="D107" s="92">
        <v>6205.55</v>
      </c>
      <c r="X107" s="85">
        <v>45045</v>
      </c>
      <c r="Y107" s="56" t="s">
        <v>723</v>
      </c>
      <c r="Z107" s="92">
        <v>6205.55</v>
      </c>
    </row>
    <row r="108" spans="2:26">
      <c r="B108" s="85">
        <v>45045</v>
      </c>
      <c r="C108" s="56" t="s">
        <v>724</v>
      </c>
      <c r="D108" s="92">
        <v>1381.72</v>
      </c>
      <c r="X108" s="85">
        <v>45045</v>
      </c>
      <c r="Y108" s="56" t="s">
        <v>724</v>
      </c>
      <c r="Z108" s="92">
        <v>1381.72</v>
      </c>
    </row>
    <row r="109" spans="2:26">
      <c r="B109" s="85">
        <v>45046</v>
      </c>
      <c r="C109" s="56" t="s">
        <v>723</v>
      </c>
      <c r="D109" s="92">
        <v>1856.15</v>
      </c>
      <c r="X109" s="85">
        <v>45046</v>
      </c>
      <c r="Y109" s="56" t="s">
        <v>723</v>
      </c>
      <c r="Z109" s="92">
        <v>1856.15</v>
      </c>
    </row>
    <row r="110" spans="2:26">
      <c r="B110" s="85">
        <v>45046</v>
      </c>
      <c r="C110" s="56" t="s">
        <v>726</v>
      </c>
      <c r="D110" s="92">
        <v>4677.09</v>
      </c>
      <c r="X110" s="85">
        <v>45046</v>
      </c>
      <c r="Y110" s="56" t="s">
        <v>726</v>
      </c>
      <c r="Z110" s="92">
        <v>4677.09</v>
      </c>
    </row>
    <row r="111" spans="2:26">
      <c r="B111" s="85">
        <v>45049</v>
      </c>
      <c r="C111" s="56" t="s">
        <v>723</v>
      </c>
      <c r="D111" s="92">
        <v>6745.45</v>
      </c>
      <c r="X111" s="85">
        <v>45049</v>
      </c>
      <c r="Y111" s="56" t="s">
        <v>723</v>
      </c>
      <c r="Z111" s="92">
        <v>6745.45</v>
      </c>
    </row>
    <row r="112" spans="2:26">
      <c r="B112" s="85">
        <v>45049</v>
      </c>
      <c r="C112" s="56" t="s">
        <v>724</v>
      </c>
      <c r="D112" s="92">
        <v>3620.88</v>
      </c>
      <c r="X112" s="85">
        <v>45049</v>
      </c>
      <c r="Y112" s="56" t="s">
        <v>724</v>
      </c>
      <c r="Z112" s="92">
        <v>3620.88</v>
      </c>
    </row>
    <row r="113" spans="2:26">
      <c r="B113" s="85">
        <v>45049</v>
      </c>
      <c r="C113" s="56" t="s">
        <v>728</v>
      </c>
      <c r="D113" s="92">
        <v>2483.2399999999998</v>
      </c>
      <c r="X113" s="85">
        <v>45049</v>
      </c>
      <c r="Y113" s="56" t="s">
        <v>728</v>
      </c>
      <c r="Z113" s="92">
        <v>2483.2399999999998</v>
      </c>
    </row>
    <row r="114" spans="2:26">
      <c r="B114" s="85">
        <v>45050</v>
      </c>
      <c r="C114" s="56" t="s">
        <v>723</v>
      </c>
      <c r="D114" s="92">
        <v>6701.15</v>
      </c>
      <c r="X114" s="85">
        <v>45050</v>
      </c>
      <c r="Y114" s="56" t="s">
        <v>723</v>
      </c>
      <c r="Z114" s="92">
        <v>6701.15</v>
      </c>
    </row>
    <row r="115" spans="2:26">
      <c r="B115" s="85">
        <v>45055</v>
      </c>
      <c r="C115" s="56" t="s">
        <v>728</v>
      </c>
      <c r="D115" s="92">
        <v>3161.1</v>
      </c>
      <c r="X115" s="85">
        <v>45055</v>
      </c>
      <c r="Y115" s="56" t="s">
        <v>728</v>
      </c>
      <c r="Z115" s="92">
        <v>3161.1</v>
      </c>
    </row>
    <row r="116" spans="2:26">
      <c r="B116" s="85">
        <v>45055</v>
      </c>
      <c r="C116" s="56" t="s">
        <v>726</v>
      </c>
      <c r="D116" s="92">
        <v>5294.68</v>
      </c>
      <c r="X116" s="85">
        <v>45055</v>
      </c>
      <c r="Y116" s="56" t="s">
        <v>726</v>
      </c>
      <c r="Z116" s="92">
        <v>5294.68</v>
      </c>
    </row>
    <row r="117" spans="2:26">
      <c r="B117" s="85">
        <v>45056</v>
      </c>
      <c r="C117" s="56" t="s">
        <v>723</v>
      </c>
      <c r="D117" s="92">
        <v>1605.18</v>
      </c>
      <c r="X117" s="85">
        <v>45056</v>
      </c>
      <c r="Y117" s="56" t="s">
        <v>723</v>
      </c>
      <c r="Z117" s="92">
        <v>1605.18</v>
      </c>
    </row>
    <row r="118" spans="2:26">
      <c r="B118" s="85">
        <v>45056</v>
      </c>
      <c r="C118" s="56" t="s">
        <v>728</v>
      </c>
      <c r="D118" s="92">
        <v>3641.61</v>
      </c>
      <c r="X118" s="85">
        <v>45056</v>
      </c>
      <c r="Y118" s="56" t="s">
        <v>728</v>
      </c>
      <c r="Z118" s="92">
        <v>3641.61</v>
      </c>
    </row>
    <row r="119" spans="2:26">
      <c r="B119" s="85">
        <v>45056</v>
      </c>
      <c r="C119" s="56" t="s">
        <v>724</v>
      </c>
      <c r="D119" s="92">
        <v>6773.57</v>
      </c>
      <c r="X119" s="85">
        <v>45056</v>
      </c>
      <c r="Y119" s="56" t="s">
        <v>724</v>
      </c>
      <c r="Z119" s="92">
        <v>6773.57</v>
      </c>
    </row>
    <row r="120" spans="2:26">
      <c r="B120" s="85">
        <v>45057</v>
      </c>
      <c r="C120" s="56" t="s">
        <v>724</v>
      </c>
      <c r="D120" s="92">
        <v>2727.85</v>
      </c>
      <c r="X120" s="85">
        <v>45057</v>
      </c>
      <c r="Y120" s="56" t="s">
        <v>724</v>
      </c>
      <c r="Z120" s="92">
        <v>2727.85</v>
      </c>
    </row>
    <row r="121" spans="2:26">
      <c r="B121" s="85">
        <v>45058</v>
      </c>
      <c r="C121" s="56" t="s">
        <v>724</v>
      </c>
      <c r="D121" s="92">
        <v>5203.76</v>
      </c>
      <c r="X121" s="85">
        <v>45058</v>
      </c>
      <c r="Y121" s="56" t="s">
        <v>724</v>
      </c>
      <c r="Z121" s="92">
        <v>5203.76</v>
      </c>
    </row>
    <row r="122" spans="2:26">
      <c r="B122" s="85">
        <v>45059</v>
      </c>
      <c r="C122" s="56" t="s">
        <v>726</v>
      </c>
      <c r="D122" s="92">
        <v>4230.25</v>
      </c>
      <c r="X122" s="85">
        <v>45059</v>
      </c>
      <c r="Y122" s="56" t="s">
        <v>726</v>
      </c>
      <c r="Z122" s="92">
        <v>4230.25</v>
      </c>
    </row>
    <row r="123" spans="2:26">
      <c r="B123" s="85">
        <v>45063</v>
      </c>
      <c r="C123" s="56" t="s">
        <v>723</v>
      </c>
      <c r="D123" s="92">
        <v>4971.41</v>
      </c>
      <c r="X123" s="85">
        <v>45063</v>
      </c>
      <c r="Y123" s="56" t="s">
        <v>723</v>
      </c>
      <c r="Z123" s="92">
        <v>4971.41</v>
      </c>
    </row>
    <row r="124" spans="2:26">
      <c r="B124" s="85">
        <v>45064</v>
      </c>
      <c r="C124" s="56" t="s">
        <v>724</v>
      </c>
      <c r="D124" s="92">
        <v>4893.76</v>
      </c>
      <c r="X124" s="85">
        <v>45064</v>
      </c>
      <c r="Y124" s="56" t="s">
        <v>724</v>
      </c>
      <c r="Z124" s="92">
        <v>4893.76</v>
      </c>
    </row>
    <row r="125" spans="2:26">
      <c r="B125" s="85">
        <v>45068</v>
      </c>
      <c r="C125" s="56" t="s">
        <v>724</v>
      </c>
      <c r="D125" s="92">
        <v>4069.41</v>
      </c>
      <c r="X125" s="85">
        <v>45068</v>
      </c>
      <c r="Y125" s="56" t="s">
        <v>724</v>
      </c>
      <c r="Z125" s="92">
        <v>4069.41</v>
      </c>
    </row>
    <row r="126" spans="2:26">
      <c r="B126" s="85">
        <v>45069</v>
      </c>
      <c r="C126" s="56" t="s">
        <v>728</v>
      </c>
      <c r="D126" s="92">
        <v>6304.83</v>
      </c>
      <c r="X126" s="85">
        <v>45069</v>
      </c>
      <c r="Y126" s="56" t="s">
        <v>728</v>
      </c>
      <c r="Z126" s="92">
        <v>6304.83</v>
      </c>
    </row>
    <row r="127" spans="2:26">
      <c r="B127" s="85">
        <v>45069</v>
      </c>
      <c r="C127" s="56" t="s">
        <v>726</v>
      </c>
      <c r="D127" s="92">
        <v>1534.98</v>
      </c>
      <c r="X127" s="85">
        <v>45069</v>
      </c>
      <c r="Y127" s="56" t="s">
        <v>726</v>
      </c>
      <c r="Z127" s="92">
        <v>1534.98</v>
      </c>
    </row>
    <row r="128" spans="2:26">
      <c r="B128" s="85">
        <v>45070</v>
      </c>
      <c r="C128" s="56" t="s">
        <v>726</v>
      </c>
      <c r="D128" s="92">
        <v>6195.64</v>
      </c>
      <c r="X128" s="85">
        <v>45070</v>
      </c>
      <c r="Y128" s="56" t="s">
        <v>726</v>
      </c>
      <c r="Z128" s="92">
        <v>6195.64</v>
      </c>
    </row>
    <row r="129" spans="2:26">
      <c r="B129" s="85">
        <v>45071</v>
      </c>
      <c r="C129" s="56" t="s">
        <v>728</v>
      </c>
      <c r="D129" s="92">
        <v>3860.31</v>
      </c>
      <c r="X129" s="85">
        <v>45071</v>
      </c>
      <c r="Y129" s="56" t="s">
        <v>728</v>
      </c>
      <c r="Z129" s="92">
        <v>3860.31</v>
      </c>
    </row>
    <row r="130" spans="2:26">
      <c r="B130" s="85">
        <v>45072</v>
      </c>
      <c r="C130" s="56" t="s">
        <v>728</v>
      </c>
      <c r="D130" s="92">
        <v>6436.11</v>
      </c>
      <c r="X130" s="85">
        <v>45072</v>
      </c>
      <c r="Y130" s="56" t="s">
        <v>728</v>
      </c>
      <c r="Z130" s="92">
        <v>6436.11</v>
      </c>
    </row>
    <row r="131" spans="2:26">
      <c r="B131" s="85">
        <v>45072</v>
      </c>
      <c r="C131" s="56" t="s">
        <v>728</v>
      </c>
      <c r="D131" s="92">
        <v>2174.94</v>
      </c>
      <c r="X131" s="85">
        <v>45072</v>
      </c>
      <c r="Y131" s="56" t="s">
        <v>728</v>
      </c>
      <c r="Z131" s="92">
        <v>2174.94</v>
      </c>
    </row>
    <row r="132" spans="2:26">
      <c r="B132" s="85">
        <v>45073</v>
      </c>
      <c r="C132" s="56" t="s">
        <v>726</v>
      </c>
      <c r="D132" s="92">
        <v>3183.81</v>
      </c>
      <c r="X132" s="85">
        <v>45073</v>
      </c>
      <c r="Y132" s="56" t="s">
        <v>726</v>
      </c>
      <c r="Z132" s="92">
        <v>3183.81</v>
      </c>
    </row>
    <row r="133" spans="2:26">
      <c r="B133" s="85">
        <v>45074</v>
      </c>
      <c r="C133" s="56" t="s">
        <v>726</v>
      </c>
      <c r="D133" s="92">
        <v>4127.82</v>
      </c>
      <c r="X133" s="85">
        <v>45074</v>
      </c>
      <c r="Y133" s="56" t="s">
        <v>726</v>
      </c>
      <c r="Z133" s="92">
        <v>4127.82</v>
      </c>
    </row>
    <row r="134" spans="2:26">
      <c r="B134" s="85">
        <v>45074</v>
      </c>
      <c r="C134" s="56" t="s">
        <v>728</v>
      </c>
      <c r="D134" s="92">
        <v>1335.64</v>
      </c>
      <c r="X134" s="85">
        <v>45074</v>
      </c>
      <c r="Y134" s="56" t="s">
        <v>728</v>
      </c>
      <c r="Z134" s="92">
        <v>1335.64</v>
      </c>
    </row>
    <row r="135" spans="2:26">
      <c r="B135" s="85">
        <v>45075</v>
      </c>
      <c r="C135" s="56" t="s">
        <v>728</v>
      </c>
      <c r="D135" s="92">
        <v>6973.41</v>
      </c>
      <c r="X135" s="85">
        <v>45075</v>
      </c>
      <c r="Y135" s="56" t="s">
        <v>728</v>
      </c>
      <c r="Z135" s="92">
        <v>6973.41</v>
      </c>
    </row>
    <row r="136" spans="2:26">
      <c r="B136" s="85">
        <v>45076</v>
      </c>
      <c r="C136" s="56" t="s">
        <v>728</v>
      </c>
      <c r="D136" s="92">
        <v>2386.48</v>
      </c>
      <c r="X136" s="85">
        <v>45076</v>
      </c>
      <c r="Y136" s="56" t="s">
        <v>728</v>
      </c>
      <c r="Z136" s="92">
        <v>2386.48</v>
      </c>
    </row>
    <row r="137" spans="2:26">
      <c r="B137" s="85">
        <v>45077</v>
      </c>
      <c r="C137" s="56" t="s">
        <v>724</v>
      </c>
      <c r="D137" s="92">
        <v>1318.06</v>
      </c>
      <c r="X137" s="85">
        <v>45077</v>
      </c>
      <c r="Y137" s="56" t="s">
        <v>724</v>
      </c>
      <c r="Z137" s="92">
        <v>1318.06</v>
      </c>
    </row>
    <row r="138" spans="2:26">
      <c r="B138" s="85">
        <v>45078</v>
      </c>
      <c r="C138" s="56" t="s">
        <v>724</v>
      </c>
      <c r="D138" s="92">
        <v>7224.19</v>
      </c>
      <c r="X138" s="85">
        <v>45078</v>
      </c>
      <c r="Y138" s="56" t="s">
        <v>724</v>
      </c>
      <c r="Z138" s="92">
        <v>7224.19</v>
      </c>
    </row>
    <row r="139" spans="2:26">
      <c r="B139" s="85">
        <v>45079</v>
      </c>
      <c r="C139" s="56" t="s">
        <v>728</v>
      </c>
      <c r="D139" s="92">
        <v>4695.04</v>
      </c>
      <c r="X139" s="85">
        <v>45079</v>
      </c>
      <c r="Y139" s="56" t="s">
        <v>728</v>
      </c>
      <c r="Z139" s="92">
        <v>4695.04</v>
      </c>
    </row>
    <row r="140" spans="2:26">
      <c r="B140" s="85">
        <v>45079</v>
      </c>
      <c r="C140" s="56" t="s">
        <v>726</v>
      </c>
      <c r="D140" s="92">
        <v>7674.41</v>
      </c>
      <c r="X140" s="85">
        <v>45079</v>
      </c>
      <c r="Y140" s="56" t="s">
        <v>726</v>
      </c>
      <c r="Z140" s="92">
        <v>7674.41</v>
      </c>
    </row>
    <row r="141" spans="2:26">
      <c r="B141" s="85">
        <v>45080</v>
      </c>
      <c r="C141" s="56" t="s">
        <v>724</v>
      </c>
      <c r="D141" s="92">
        <v>5521.63</v>
      </c>
      <c r="X141" s="85">
        <v>45080</v>
      </c>
      <c r="Y141" s="56" t="s">
        <v>724</v>
      </c>
      <c r="Z141" s="92">
        <v>5521.63</v>
      </c>
    </row>
    <row r="142" spans="2:26">
      <c r="B142" s="85">
        <v>45081</v>
      </c>
      <c r="C142" s="56" t="s">
        <v>726</v>
      </c>
      <c r="D142" s="92">
        <v>4431.01</v>
      </c>
      <c r="X142" s="85">
        <v>45081</v>
      </c>
      <c r="Y142" s="56" t="s">
        <v>726</v>
      </c>
      <c r="Z142" s="92">
        <v>4431.01</v>
      </c>
    </row>
    <row r="143" spans="2:26">
      <c r="B143" s="85">
        <v>45082</v>
      </c>
      <c r="C143" s="56" t="s">
        <v>724</v>
      </c>
      <c r="D143" s="92">
        <v>6269.22</v>
      </c>
      <c r="X143" s="85">
        <v>45082</v>
      </c>
      <c r="Y143" s="56" t="s">
        <v>724</v>
      </c>
      <c r="Z143" s="92">
        <v>6269.22</v>
      </c>
    </row>
    <row r="144" spans="2:26">
      <c r="B144" s="85">
        <v>45082</v>
      </c>
      <c r="C144" s="56" t="s">
        <v>728</v>
      </c>
      <c r="D144" s="92">
        <v>6099.11</v>
      </c>
      <c r="X144" s="85">
        <v>45082</v>
      </c>
      <c r="Y144" s="56" t="s">
        <v>728</v>
      </c>
      <c r="Z144" s="92">
        <v>6099.11</v>
      </c>
    </row>
    <row r="145" spans="2:26">
      <c r="B145" s="85">
        <v>45082</v>
      </c>
      <c r="C145" s="56" t="s">
        <v>724</v>
      </c>
      <c r="D145" s="92">
        <v>6523.01</v>
      </c>
      <c r="X145" s="85">
        <v>45082</v>
      </c>
      <c r="Y145" s="56" t="s">
        <v>724</v>
      </c>
      <c r="Z145" s="92">
        <v>6523.01</v>
      </c>
    </row>
    <row r="146" spans="2:26">
      <c r="B146" s="85">
        <v>45084</v>
      </c>
      <c r="C146" s="56" t="s">
        <v>726</v>
      </c>
      <c r="D146" s="92">
        <v>5528.17</v>
      </c>
      <c r="X146" s="85">
        <v>45084</v>
      </c>
      <c r="Y146" s="56" t="s">
        <v>726</v>
      </c>
      <c r="Z146" s="92">
        <v>5528.17</v>
      </c>
    </row>
    <row r="147" spans="2:26">
      <c r="B147" s="85">
        <v>45084</v>
      </c>
      <c r="C147" s="56" t="s">
        <v>726</v>
      </c>
      <c r="D147" s="92">
        <v>4519.07</v>
      </c>
      <c r="X147" s="85">
        <v>45084</v>
      </c>
      <c r="Y147" s="56" t="s">
        <v>726</v>
      </c>
      <c r="Z147" s="92">
        <v>4519.07</v>
      </c>
    </row>
    <row r="148" spans="2:26">
      <c r="B148" s="85">
        <v>45085</v>
      </c>
      <c r="C148" s="56" t="s">
        <v>723</v>
      </c>
      <c r="D148" s="92">
        <v>5209.62</v>
      </c>
      <c r="X148" s="85">
        <v>45085</v>
      </c>
      <c r="Y148" s="56" t="s">
        <v>723</v>
      </c>
      <c r="Z148" s="92">
        <v>5209.62</v>
      </c>
    </row>
    <row r="149" spans="2:26">
      <c r="B149" s="85">
        <v>45085</v>
      </c>
      <c r="C149" s="56" t="s">
        <v>723</v>
      </c>
      <c r="D149" s="92">
        <v>7011.71</v>
      </c>
      <c r="X149" s="85">
        <v>45085</v>
      </c>
      <c r="Y149" s="56" t="s">
        <v>723</v>
      </c>
      <c r="Z149" s="92">
        <v>7011.71</v>
      </c>
    </row>
    <row r="150" spans="2:26">
      <c r="B150" s="85">
        <v>45085</v>
      </c>
      <c r="C150" s="56" t="s">
        <v>726</v>
      </c>
      <c r="D150" s="92">
        <v>6647.08</v>
      </c>
      <c r="X150" s="85">
        <v>45085</v>
      </c>
      <c r="Y150" s="56" t="s">
        <v>726</v>
      </c>
      <c r="Z150" s="92">
        <v>6647.08</v>
      </c>
    </row>
    <row r="151" spans="2:26">
      <c r="B151" s="85">
        <v>45086</v>
      </c>
      <c r="C151" s="56" t="s">
        <v>724</v>
      </c>
      <c r="D151" s="92">
        <v>3831.24</v>
      </c>
      <c r="X151" s="85">
        <v>45086</v>
      </c>
      <c r="Y151" s="56" t="s">
        <v>724</v>
      </c>
      <c r="Z151" s="92">
        <v>3831.24</v>
      </c>
    </row>
    <row r="152" spans="2:26">
      <c r="B152" s="85">
        <v>45086</v>
      </c>
      <c r="C152" s="56" t="s">
        <v>723</v>
      </c>
      <c r="D152" s="92">
        <v>4555.79</v>
      </c>
      <c r="X152" s="85">
        <v>45086</v>
      </c>
      <c r="Y152" s="56" t="s">
        <v>723</v>
      </c>
      <c r="Z152" s="92">
        <v>4555.79</v>
      </c>
    </row>
    <row r="153" spans="2:26">
      <c r="B153" s="85">
        <v>45086</v>
      </c>
      <c r="C153" s="56" t="s">
        <v>723</v>
      </c>
      <c r="D153" s="92">
        <v>4665.33</v>
      </c>
      <c r="X153" s="85">
        <v>45086</v>
      </c>
      <c r="Y153" s="56" t="s">
        <v>723</v>
      </c>
      <c r="Z153" s="92">
        <v>4665.33</v>
      </c>
    </row>
    <row r="154" spans="2:26">
      <c r="B154" s="85">
        <v>45087</v>
      </c>
      <c r="C154" s="56" t="s">
        <v>724</v>
      </c>
      <c r="D154" s="92">
        <v>5006.4799999999996</v>
      </c>
      <c r="X154" s="85">
        <v>45087</v>
      </c>
      <c r="Y154" s="56" t="s">
        <v>724</v>
      </c>
      <c r="Z154" s="92">
        <v>5006.4799999999996</v>
      </c>
    </row>
    <row r="155" spans="2:26">
      <c r="B155" s="85">
        <v>45089</v>
      </c>
      <c r="C155" s="56" t="s">
        <v>726</v>
      </c>
      <c r="D155" s="92">
        <v>6082.79</v>
      </c>
      <c r="X155" s="85">
        <v>45089</v>
      </c>
      <c r="Y155" s="56" t="s">
        <v>726</v>
      </c>
      <c r="Z155" s="92">
        <v>6082.79</v>
      </c>
    </row>
    <row r="156" spans="2:26">
      <c r="B156" s="85">
        <v>45089</v>
      </c>
      <c r="C156" s="56" t="s">
        <v>724</v>
      </c>
      <c r="D156" s="92">
        <v>6344.04</v>
      </c>
      <c r="X156" s="85">
        <v>45089</v>
      </c>
      <c r="Y156" s="56" t="s">
        <v>724</v>
      </c>
      <c r="Z156" s="92">
        <v>6344.04</v>
      </c>
    </row>
    <row r="157" spans="2:26">
      <c r="B157" s="85">
        <v>45091</v>
      </c>
      <c r="C157" s="56" t="s">
        <v>723</v>
      </c>
      <c r="D157" s="92">
        <v>4217.26</v>
      </c>
      <c r="X157" s="85">
        <v>45091</v>
      </c>
      <c r="Y157" s="56" t="s">
        <v>723</v>
      </c>
      <c r="Z157" s="92">
        <v>4217.26</v>
      </c>
    </row>
    <row r="158" spans="2:26">
      <c r="B158" s="85">
        <v>45093</v>
      </c>
      <c r="C158" s="56" t="s">
        <v>726</v>
      </c>
      <c r="D158" s="92">
        <v>4197.76</v>
      </c>
      <c r="X158" s="85">
        <v>45093</v>
      </c>
      <c r="Y158" s="56" t="s">
        <v>726</v>
      </c>
      <c r="Z158" s="92">
        <v>4197.76</v>
      </c>
    </row>
    <row r="159" spans="2:26">
      <c r="B159" s="85">
        <v>45093</v>
      </c>
      <c r="C159" s="56" t="s">
        <v>728</v>
      </c>
      <c r="D159" s="92">
        <v>7645.36</v>
      </c>
      <c r="X159" s="85">
        <v>45093</v>
      </c>
      <c r="Y159" s="56" t="s">
        <v>728</v>
      </c>
      <c r="Z159" s="92">
        <v>7645.36</v>
      </c>
    </row>
    <row r="160" spans="2:26">
      <c r="B160" s="85">
        <v>45093</v>
      </c>
      <c r="C160" s="56" t="s">
        <v>723</v>
      </c>
      <c r="D160" s="92">
        <v>7361.51</v>
      </c>
      <c r="X160" s="85">
        <v>45093</v>
      </c>
      <c r="Y160" s="56" t="s">
        <v>723</v>
      </c>
      <c r="Z160" s="92">
        <v>7361.51</v>
      </c>
    </row>
    <row r="161" spans="2:26">
      <c r="B161" s="85">
        <v>45094</v>
      </c>
      <c r="C161" s="56" t="s">
        <v>724</v>
      </c>
      <c r="D161" s="92">
        <v>7737.13</v>
      </c>
      <c r="X161" s="85">
        <v>45094</v>
      </c>
      <c r="Y161" s="56" t="s">
        <v>724</v>
      </c>
      <c r="Z161" s="92">
        <v>7737.13</v>
      </c>
    </row>
    <row r="162" spans="2:26">
      <c r="B162" s="85">
        <v>45095</v>
      </c>
      <c r="C162" s="56" t="s">
        <v>724</v>
      </c>
      <c r="D162" s="92">
        <v>6948.28</v>
      </c>
      <c r="X162" s="85">
        <v>45095</v>
      </c>
      <c r="Y162" s="56" t="s">
        <v>724</v>
      </c>
      <c r="Z162" s="92">
        <v>6948.28</v>
      </c>
    </row>
    <row r="163" spans="2:26">
      <c r="B163" s="85">
        <v>45097</v>
      </c>
      <c r="C163" s="56" t="s">
        <v>728</v>
      </c>
      <c r="D163" s="92">
        <v>5308</v>
      </c>
      <c r="X163" s="85">
        <v>45097</v>
      </c>
      <c r="Y163" s="56" t="s">
        <v>728</v>
      </c>
      <c r="Z163" s="92">
        <v>5308</v>
      </c>
    </row>
    <row r="164" spans="2:26">
      <c r="B164" s="85">
        <v>45097</v>
      </c>
      <c r="C164" s="56" t="s">
        <v>728</v>
      </c>
      <c r="D164" s="92">
        <v>5534.7</v>
      </c>
      <c r="X164" s="85">
        <v>45097</v>
      </c>
      <c r="Y164" s="56" t="s">
        <v>728</v>
      </c>
      <c r="Z164" s="92">
        <v>5534.7</v>
      </c>
    </row>
    <row r="165" spans="2:26">
      <c r="B165" s="85">
        <v>45097</v>
      </c>
      <c r="C165" s="56" t="s">
        <v>723</v>
      </c>
      <c r="D165" s="92">
        <v>5735.86</v>
      </c>
      <c r="X165" s="85">
        <v>45097</v>
      </c>
      <c r="Y165" s="56" t="s">
        <v>723</v>
      </c>
      <c r="Z165" s="92">
        <v>5735.86</v>
      </c>
    </row>
    <row r="166" spans="2:26">
      <c r="B166" s="85">
        <v>45100</v>
      </c>
      <c r="C166" s="56" t="s">
        <v>726</v>
      </c>
      <c r="D166" s="92">
        <v>6854.52</v>
      </c>
      <c r="X166" s="85">
        <v>45100</v>
      </c>
      <c r="Y166" s="56" t="s">
        <v>726</v>
      </c>
      <c r="Z166" s="92">
        <v>6854.52</v>
      </c>
    </row>
    <row r="167" spans="2:26">
      <c r="B167" s="85">
        <v>45100</v>
      </c>
      <c r="C167" s="56" t="s">
        <v>726</v>
      </c>
      <c r="D167" s="92">
        <v>5276.25</v>
      </c>
      <c r="X167" s="85">
        <v>45100</v>
      </c>
      <c r="Y167" s="56" t="s">
        <v>726</v>
      </c>
      <c r="Z167" s="92">
        <v>5276.25</v>
      </c>
    </row>
    <row r="168" spans="2:26">
      <c r="B168" s="85">
        <v>45102</v>
      </c>
      <c r="C168" s="56" t="s">
        <v>723</v>
      </c>
      <c r="D168" s="92">
        <v>3835.19</v>
      </c>
      <c r="X168" s="85">
        <v>45102</v>
      </c>
      <c r="Y168" s="56" t="s">
        <v>723</v>
      </c>
      <c r="Z168" s="92">
        <v>3835.19</v>
      </c>
    </row>
    <row r="169" spans="2:26">
      <c r="B169" s="85">
        <v>45102</v>
      </c>
      <c r="C169" s="56" t="s">
        <v>724</v>
      </c>
      <c r="D169" s="92">
        <v>4064.22</v>
      </c>
      <c r="X169" s="85">
        <v>45102</v>
      </c>
      <c r="Y169" s="56" t="s">
        <v>724</v>
      </c>
      <c r="Z169" s="92">
        <v>4064.22</v>
      </c>
    </row>
    <row r="170" spans="2:26">
      <c r="B170" s="85">
        <v>45103</v>
      </c>
      <c r="C170" s="56" t="s">
        <v>728</v>
      </c>
      <c r="D170" s="92">
        <v>4163.58</v>
      </c>
      <c r="X170" s="85">
        <v>45103</v>
      </c>
      <c r="Y170" s="56" t="s">
        <v>728</v>
      </c>
      <c r="Z170" s="92">
        <v>4163.58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4E40D-80B0-4894-B76F-3CE490600671}">
  <sheetPr>
    <tabColor rgb="FFFFFF00"/>
  </sheetPr>
  <dimension ref="B2:AC171"/>
  <sheetViews>
    <sheetView showGridLines="0" workbookViewId="0">
      <selection activeCell="M9" sqref="M9"/>
    </sheetView>
  </sheetViews>
  <sheetFormatPr defaultRowHeight="14.5"/>
  <cols>
    <col min="1" max="1" width="2.453125" customWidth="1"/>
    <col min="2" max="2" width="11.1796875" customWidth="1"/>
    <col min="3" max="3" width="12.26953125" customWidth="1"/>
    <col min="4" max="4" width="11" customWidth="1"/>
    <col min="5" max="5" width="25" customWidth="1"/>
    <col min="6" max="6" width="19.26953125" customWidth="1"/>
    <col min="7" max="7" width="12.7265625" bestFit="1" customWidth="1"/>
    <col min="8" max="8" width="14" customWidth="1"/>
    <col min="9" max="9" width="2.453125" customWidth="1"/>
    <col min="10" max="10" width="12.453125" customWidth="1"/>
    <col min="11" max="11" width="17.7265625" customWidth="1"/>
    <col min="20" max="20" width="11.54296875" customWidth="1"/>
    <col min="22" max="22" width="16.26953125" customWidth="1"/>
    <col min="23" max="23" width="32.54296875" customWidth="1"/>
    <col min="24" max="24" width="20.6328125" customWidth="1"/>
  </cols>
  <sheetData>
    <row r="2" spans="2:29">
      <c r="B2" t="s">
        <v>739</v>
      </c>
    </row>
    <row r="3" spans="2:29">
      <c r="B3" t="s">
        <v>740</v>
      </c>
      <c r="T3" t="s">
        <v>739</v>
      </c>
    </row>
    <row r="4" spans="2:29">
      <c r="F4" s="59" t="s">
        <v>741</v>
      </c>
      <c r="T4" t="s">
        <v>740</v>
      </c>
    </row>
    <row r="5" spans="2:29">
      <c r="X5" s="59" t="s">
        <v>741</v>
      </c>
    </row>
    <row r="6" spans="2:29">
      <c r="B6" s="93" t="s">
        <v>705</v>
      </c>
      <c r="C6" s="94" t="s">
        <v>720</v>
      </c>
      <c r="D6" s="95" t="s">
        <v>721</v>
      </c>
      <c r="E6" s="59"/>
      <c r="F6" s="105" t="s">
        <v>720</v>
      </c>
      <c r="G6" s="105" t="s">
        <v>731</v>
      </c>
      <c r="H6" t="s">
        <v>732</v>
      </c>
      <c r="J6" t="s">
        <v>731</v>
      </c>
      <c r="K6" t="s">
        <v>732</v>
      </c>
    </row>
    <row r="7" spans="2:29">
      <c r="B7" s="96">
        <v>44931</v>
      </c>
      <c r="C7" s="97" t="s">
        <v>726</v>
      </c>
      <c r="D7" s="98">
        <v>1645.01</v>
      </c>
      <c r="E7" s="88"/>
      <c r="F7" t="s">
        <v>723</v>
      </c>
      <c r="G7" t="s">
        <v>733</v>
      </c>
      <c r="H7" s="88">
        <v>18036.68</v>
      </c>
      <c r="J7" t="s">
        <v>733</v>
      </c>
      <c r="K7" s="88">
        <v>62629.600000000006</v>
      </c>
      <c r="T7" s="93" t="s">
        <v>705</v>
      </c>
      <c r="U7" s="94" t="s">
        <v>720</v>
      </c>
      <c r="V7" s="95" t="s">
        <v>721</v>
      </c>
      <c r="W7" s="59"/>
      <c r="X7" s="105" t="s">
        <v>720</v>
      </c>
      <c r="Y7" s="105" t="s">
        <v>731</v>
      </c>
      <c r="Z7" t="s">
        <v>732</v>
      </c>
      <c r="AB7" s="105" t="s">
        <v>731</v>
      </c>
      <c r="AC7" t="s">
        <v>732</v>
      </c>
    </row>
    <row r="8" spans="2:29">
      <c r="B8" s="99">
        <v>44932</v>
      </c>
      <c r="C8" s="100" t="s">
        <v>726</v>
      </c>
      <c r="D8" s="101">
        <v>4828.54</v>
      </c>
      <c r="E8" s="88"/>
      <c r="G8" t="s">
        <v>734</v>
      </c>
      <c r="H8" s="88">
        <v>19794.25</v>
      </c>
      <c r="J8" t="s">
        <v>734</v>
      </c>
      <c r="K8" s="88">
        <v>68068.690000000017</v>
      </c>
      <c r="T8" s="96">
        <v>44931</v>
      </c>
      <c r="U8" s="97" t="s">
        <v>726</v>
      </c>
      <c r="V8" s="98">
        <v>1645.01</v>
      </c>
      <c r="W8" s="88"/>
      <c r="X8" t="s">
        <v>723</v>
      </c>
      <c r="Y8" t="s">
        <v>733</v>
      </c>
      <c r="Z8" s="88">
        <v>18036.68</v>
      </c>
      <c r="AB8" t="s">
        <v>733</v>
      </c>
      <c r="AC8" s="88">
        <v>62629.600000000006</v>
      </c>
    </row>
    <row r="9" spans="2:29">
      <c r="B9" s="96">
        <v>44934</v>
      </c>
      <c r="C9" s="97" t="s">
        <v>723</v>
      </c>
      <c r="D9" s="98">
        <v>3634.56</v>
      </c>
      <c r="E9" s="88"/>
      <c r="G9" t="s">
        <v>735</v>
      </c>
      <c r="H9" s="88">
        <v>10317.84</v>
      </c>
      <c r="J9" t="s">
        <v>735</v>
      </c>
      <c r="K9" s="88">
        <v>58846.960000000006</v>
      </c>
      <c r="T9" s="99">
        <v>44932</v>
      </c>
      <c r="U9" s="100" t="s">
        <v>726</v>
      </c>
      <c r="V9" s="101">
        <v>4828.54</v>
      </c>
      <c r="W9" s="88"/>
      <c r="Y9" t="s">
        <v>734</v>
      </c>
      <c r="Z9" s="88">
        <v>19794.25</v>
      </c>
      <c r="AB9" t="s">
        <v>734</v>
      </c>
      <c r="AC9" s="88">
        <v>68068.690000000017</v>
      </c>
    </row>
    <row r="10" spans="2:29">
      <c r="B10" s="99">
        <v>44937</v>
      </c>
      <c r="C10" s="100" t="s">
        <v>723</v>
      </c>
      <c r="D10" s="101">
        <v>2713.46</v>
      </c>
      <c r="E10" s="88"/>
      <c r="G10" t="s">
        <v>742</v>
      </c>
      <c r="H10" s="88">
        <v>39529.879999999997</v>
      </c>
      <c r="J10" t="s">
        <v>736</v>
      </c>
      <c r="K10" s="88">
        <v>189545.25000000003</v>
      </c>
      <c r="T10" s="96">
        <v>44934</v>
      </c>
      <c r="U10" s="97" t="s">
        <v>723</v>
      </c>
      <c r="V10" s="98">
        <v>3634.56</v>
      </c>
      <c r="W10" s="88"/>
      <c r="Y10" t="s">
        <v>735</v>
      </c>
      <c r="Z10" s="88">
        <v>10317.84</v>
      </c>
      <c r="AB10" t="s">
        <v>735</v>
      </c>
      <c r="AC10" s="88">
        <v>58846.960000000006</v>
      </c>
    </row>
    <row r="11" spans="2:29">
      <c r="B11" s="96">
        <v>44939</v>
      </c>
      <c r="C11" s="97" t="s">
        <v>726</v>
      </c>
      <c r="D11" s="98">
        <v>679.07</v>
      </c>
      <c r="E11" s="88"/>
      <c r="G11" t="s">
        <v>743</v>
      </c>
      <c r="H11" s="88">
        <v>20023.189999999999</v>
      </c>
      <c r="T11" s="99">
        <v>44937</v>
      </c>
      <c r="U11" s="100" t="s">
        <v>723</v>
      </c>
      <c r="V11" s="101">
        <v>2713.46</v>
      </c>
      <c r="W11" s="88"/>
      <c r="Y11" t="s">
        <v>742</v>
      </c>
      <c r="Z11" s="88">
        <v>39529.879999999997</v>
      </c>
      <c r="AB11" t="s">
        <v>736</v>
      </c>
      <c r="AC11" s="88">
        <v>189545.25000000003</v>
      </c>
    </row>
    <row r="12" spans="2:29">
      <c r="B12" s="99">
        <v>44939</v>
      </c>
      <c r="C12" s="100" t="s">
        <v>724</v>
      </c>
      <c r="D12" s="101">
        <v>1526.73</v>
      </c>
      <c r="E12" s="88"/>
      <c r="G12" t="s">
        <v>744</v>
      </c>
      <c r="H12" s="88">
        <v>42592.270000000004</v>
      </c>
      <c r="T12" s="96">
        <v>44939</v>
      </c>
      <c r="U12" s="97" t="s">
        <v>726</v>
      </c>
      <c r="V12" s="98">
        <v>679.07</v>
      </c>
      <c r="W12" s="88"/>
      <c r="Y12" t="s">
        <v>743</v>
      </c>
      <c r="Z12" s="88">
        <v>20023.189999999999</v>
      </c>
    </row>
    <row r="13" spans="2:29">
      <c r="B13" s="96">
        <v>44940</v>
      </c>
      <c r="C13" s="97" t="s">
        <v>724</v>
      </c>
      <c r="D13" s="98">
        <v>3151.76</v>
      </c>
      <c r="E13" s="88"/>
      <c r="F13" t="s">
        <v>745</v>
      </c>
      <c r="H13" s="88">
        <v>150294.10999999999</v>
      </c>
      <c r="T13" s="99">
        <v>44939</v>
      </c>
      <c r="U13" s="100" t="s">
        <v>724</v>
      </c>
      <c r="V13" s="101">
        <v>1526.73</v>
      </c>
      <c r="W13" s="88"/>
      <c r="Y13" t="s">
        <v>744</v>
      </c>
      <c r="Z13" s="88">
        <v>42592.270000000004</v>
      </c>
    </row>
    <row r="14" spans="2:29">
      <c r="B14" s="99">
        <v>44940</v>
      </c>
      <c r="C14" s="100" t="s">
        <v>728</v>
      </c>
      <c r="D14" s="101">
        <v>3554.02</v>
      </c>
      <c r="E14" s="88"/>
      <c r="F14" t="s">
        <v>726</v>
      </c>
      <c r="G14" t="s">
        <v>733</v>
      </c>
      <c r="H14" s="88">
        <v>16071.94</v>
      </c>
      <c r="T14" s="96">
        <v>44940</v>
      </c>
      <c r="U14" s="97" t="s">
        <v>724</v>
      </c>
      <c r="V14" s="98">
        <v>3151.76</v>
      </c>
      <c r="W14" s="88"/>
      <c r="X14" t="s">
        <v>745</v>
      </c>
      <c r="Z14" s="88">
        <v>150294.10999999999</v>
      </c>
    </row>
    <row r="15" spans="2:29">
      <c r="B15" s="96">
        <v>44940</v>
      </c>
      <c r="C15" s="97" t="s">
        <v>724</v>
      </c>
      <c r="D15" s="98">
        <v>3409.51</v>
      </c>
      <c r="E15" s="88"/>
      <c r="G15" t="s">
        <v>734</v>
      </c>
      <c r="H15" s="88">
        <v>13144.820000000002</v>
      </c>
      <c r="J15" s="59" t="s">
        <v>746</v>
      </c>
      <c r="T15" s="99">
        <v>44940</v>
      </c>
      <c r="U15" s="100" t="s">
        <v>728</v>
      </c>
      <c r="V15" s="101">
        <v>3554.02</v>
      </c>
      <c r="W15" s="88"/>
      <c r="X15" t="s">
        <v>726</v>
      </c>
      <c r="Y15" t="s">
        <v>733</v>
      </c>
      <c r="Z15" s="88">
        <v>16071.94</v>
      </c>
    </row>
    <row r="16" spans="2:29">
      <c r="B16" s="99">
        <v>44941</v>
      </c>
      <c r="C16" s="100" t="s">
        <v>723</v>
      </c>
      <c r="D16" s="101">
        <v>3361.29</v>
      </c>
      <c r="E16" s="88"/>
      <c r="G16" t="s">
        <v>735</v>
      </c>
      <c r="H16" s="88">
        <v>13509.22</v>
      </c>
      <c r="T16" s="96">
        <v>44940</v>
      </c>
      <c r="U16" s="97" t="s">
        <v>724</v>
      </c>
      <c r="V16" s="98">
        <v>3409.51</v>
      </c>
      <c r="W16" s="88"/>
      <c r="Y16" t="s">
        <v>734</v>
      </c>
      <c r="Z16" s="88">
        <v>13144.820000000002</v>
      </c>
      <c r="AB16" s="59" t="s">
        <v>746</v>
      </c>
    </row>
    <row r="17" spans="2:26">
      <c r="B17" s="96">
        <v>44941</v>
      </c>
      <c r="C17" s="97" t="s">
        <v>728</v>
      </c>
      <c r="D17" s="98">
        <v>458.09</v>
      </c>
      <c r="E17" s="88"/>
      <c r="G17" t="s">
        <v>742</v>
      </c>
      <c r="H17" s="88">
        <v>22758.2</v>
      </c>
      <c r="T17" s="99">
        <v>44941</v>
      </c>
      <c r="U17" s="100" t="s">
        <v>723</v>
      </c>
      <c r="V17" s="101">
        <v>3361.29</v>
      </c>
      <c r="W17" s="88"/>
      <c r="Y17" t="s">
        <v>735</v>
      </c>
      <c r="Z17" s="88">
        <v>13509.22</v>
      </c>
    </row>
    <row r="18" spans="2:26">
      <c r="B18" s="99">
        <v>44941</v>
      </c>
      <c r="C18" s="100" t="s">
        <v>723</v>
      </c>
      <c r="D18" s="101">
        <v>2140.04</v>
      </c>
      <c r="E18" s="88"/>
      <c r="G18" t="s">
        <v>743</v>
      </c>
      <c r="H18" s="88">
        <v>24567.18</v>
      </c>
      <c r="T18" s="96">
        <v>44941</v>
      </c>
      <c r="U18" s="97" t="s">
        <v>728</v>
      </c>
      <c r="V18" s="98">
        <v>458.09</v>
      </c>
      <c r="W18" s="88"/>
      <c r="Y18" t="s">
        <v>742</v>
      </c>
      <c r="Z18" s="88">
        <v>22758.2</v>
      </c>
    </row>
    <row r="19" spans="2:26">
      <c r="B19" s="96">
        <v>44943</v>
      </c>
      <c r="C19" s="97" t="s">
        <v>726</v>
      </c>
      <c r="D19" s="98">
        <v>3882.28</v>
      </c>
      <c r="E19" s="88"/>
      <c r="G19" t="s">
        <v>744</v>
      </c>
      <c r="H19" s="88">
        <v>51211.06</v>
      </c>
      <c r="T19" s="99">
        <v>44941</v>
      </c>
      <c r="U19" s="100" t="s">
        <v>723</v>
      </c>
      <c r="V19" s="101">
        <v>2140.04</v>
      </c>
      <c r="W19" s="88"/>
      <c r="Y19" t="s">
        <v>743</v>
      </c>
      <c r="Z19" s="88">
        <v>24567.18</v>
      </c>
    </row>
    <row r="20" spans="2:26">
      <c r="B20" s="99">
        <v>44947</v>
      </c>
      <c r="C20" s="100" t="s">
        <v>723</v>
      </c>
      <c r="D20" s="101">
        <v>1608.7</v>
      </c>
      <c r="E20" s="88"/>
      <c r="F20" t="s">
        <v>747</v>
      </c>
      <c r="H20" s="88">
        <v>141262.42000000001</v>
      </c>
      <c r="T20" s="96">
        <v>44943</v>
      </c>
      <c r="U20" s="97" t="s">
        <v>726</v>
      </c>
      <c r="V20" s="98">
        <v>3882.28</v>
      </c>
      <c r="W20" s="88"/>
      <c r="Y20" t="s">
        <v>744</v>
      </c>
      <c r="Z20" s="88">
        <v>51211.06</v>
      </c>
    </row>
    <row r="21" spans="2:26">
      <c r="B21" s="96">
        <v>44947</v>
      </c>
      <c r="C21" s="97" t="s">
        <v>724</v>
      </c>
      <c r="D21" s="98">
        <v>3223.12</v>
      </c>
      <c r="E21" s="88"/>
      <c r="F21" t="s">
        <v>728</v>
      </c>
      <c r="G21" t="s">
        <v>733</v>
      </c>
      <c r="H21" s="88">
        <v>9467.2999999999993</v>
      </c>
      <c r="T21" s="99">
        <v>44947</v>
      </c>
      <c r="U21" s="100" t="s">
        <v>723</v>
      </c>
      <c r="V21" s="101">
        <v>1608.7</v>
      </c>
      <c r="W21" s="88"/>
      <c r="X21" t="s">
        <v>747</v>
      </c>
      <c r="Z21" s="88">
        <v>141262.42000000001</v>
      </c>
    </row>
    <row r="22" spans="2:26">
      <c r="B22" s="99">
        <v>44948</v>
      </c>
      <c r="C22" s="100" t="s">
        <v>724</v>
      </c>
      <c r="D22" s="101">
        <v>98.57</v>
      </c>
      <c r="E22" s="88"/>
      <c r="G22" t="s">
        <v>734</v>
      </c>
      <c r="H22" s="88">
        <v>21873.699999999997</v>
      </c>
      <c r="T22" s="96">
        <v>44947</v>
      </c>
      <c r="U22" s="97" t="s">
        <v>724</v>
      </c>
      <c r="V22" s="98">
        <v>3223.12</v>
      </c>
      <c r="W22" s="88"/>
      <c r="X22" t="s">
        <v>728</v>
      </c>
      <c r="Y22" t="s">
        <v>733</v>
      </c>
      <c r="Z22" s="88">
        <v>9467.2999999999993</v>
      </c>
    </row>
    <row r="23" spans="2:26">
      <c r="B23" s="96">
        <v>44948</v>
      </c>
      <c r="C23" s="97" t="s">
        <v>728</v>
      </c>
      <c r="D23" s="98">
        <v>1616.32</v>
      </c>
      <c r="E23" s="88"/>
      <c r="G23" t="s">
        <v>735</v>
      </c>
      <c r="H23" s="88">
        <v>16247.12</v>
      </c>
      <c r="T23" s="99">
        <v>44948</v>
      </c>
      <c r="U23" s="100" t="s">
        <v>724</v>
      </c>
      <c r="V23" s="101">
        <v>98.57</v>
      </c>
      <c r="W23" s="88"/>
      <c r="Y23" t="s">
        <v>734</v>
      </c>
      <c r="Z23" s="88">
        <v>21873.699999999997</v>
      </c>
    </row>
    <row r="24" spans="2:26">
      <c r="B24" s="99">
        <v>44949</v>
      </c>
      <c r="C24" s="100" t="s">
        <v>723</v>
      </c>
      <c r="D24" s="101">
        <v>2907.42</v>
      </c>
      <c r="E24" s="88"/>
      <c r="G24" t="s">
        <v>742</v>
      </c>
      <c r="H24" s="88">
        <v>25026.29</v>
      </c>
      <c r="T24" s="96">
        <v>44948</v>
      </c>
      <c r="U24" s="97" t="s">
        <v>728</v>
      </c>
      <c r="V24" s="98">
        <v>1616.32</v>
      </c>
      <c r="W24" s="88"/>
      <c r="Y24" t="s">
        <v>735</v>
      </c>
      <c r="Z24" s="88">
        <v>16247.12</v>
      </c>
    </row>
    <row r="25" spans="2:26">
      <c r="B25" s="96">
        <v>44951</v>
      </c>
      <c r="C25" s="97" t="s">
        <v>724</v>
      </c>
      <c r="D25" s="98">
        <v>2384.9699999999998</v>
      </c>
      <c r="E25" s="88"/>
      <c r="G25" t="s">
        <v>743</v>
      </c>
      <c r="H25" s="88">
        <v>38757.670000000006</v>
      </c>
      <c r="T25" s="99">
        <v>44949</v>
      </c>
      <c r="U25" s="100" t="s">
        <v>723</v>
      </c>
      <c r="V25" s="101">
        <v>2907.42</v>
      </c>
      <c r="W25" s="88"/>
      <c r="Y25" t="s">
        <v>742</v>
      </c>
      <c r="Z25" s="88">
        <v>25026.29</v>
      </c>
    </row>
    <row r="26" spans="2:26">
      <c r="B26" s="99">
        <v>44951</v>
      </c>
      <c r="C26" s="100" t="s">
        <v>726</v>
      </c>
      <c r="D26" s="101">
        <v>4326.08</v>
      </c>
      <c r="E26" s="88"/>
      <c r="G26" t="s">
        <v>744</v>
      </c>
      <c r="H26" s="88">
        <v>33445.79</v>
      </c>
      <c r="T26" s="96">
        <v>44951</v>
      </c>
      <c r="U26" s="97" t="s">
        <v>724</v>
      </c>
      <c r="V26" s="98">
        <v>2384.9699999999998</v>
      </c>
      <c r="W26" s="88"/>
      <c r="Y26" t="s">
        <v>743</v>
      </c>
      <c r="Z26" s="88">
        <v>38757.670000000006</v>
      </c>
    </row>
    <row r="27" spans="2:26">
      <c r="B27" s="96">
        <v>44951</v>
      </c>
      <c r="C27" s="97" t="s">
        <v>726</v>
      </c>
      <c r="D27" s="98">
        <v>554.62</v>
      </c>
      <c r="E27" s="88"/>
      <c r="F27" t="s">
        <v>748</v>
      </c>
      <c r="H27" s="88">
        <v>144817.87000000002</v>
      </c>
      <c r="T27" s="99">
        <v>44951</v>
      </c>
      <c r="U27" s="100" t="s">
        <v>726</v>
      </c>
      <c r="V27" s="101">
        <v>4326.08</v>
      </c>
      <c r="W27" s="88"/>
      <c r="Y27" t="s">
        <v>744</v>
      </c>
      <c r="Z27" s="88">
        <v>33445.79</v>
      </c>
    </row>
    <row r="28" spans="2:26">
      <c r="B28" s="99">
        <v>44952</v>
      </c>
      <c r="C28" s="100" t="s">
        <v>724</v>
      </c>
      <c r="D28" s="101">
        <v>1904.62</v>
      </c>
      <c r="E28" s="88"/>
      <c r="F28" t="s">
        <v>724</v>
      </c>
      <c r="G28" t="s">
        <v>733</v>
      </c>
      <c r="H28" s="88">
        <v>19053.68</v>
      </c>
      <c r="T28" s="96">
        <v>44951</v>
      </c>
      <c r="U28" s="97" t="s">
        <v>726</v>
      </c>
      <c r="V28" s="98">
        <v>554.62</v>
      </c>
      <c r="W28" s="88"/>
      <c r="X28" t="s">
        <v>748</v>
      </c>
      <c r="Z28" s="88">
        <v>144817.87000000002</v>
      </c>
    </row>
    <row r="29" spans="2:26">
      <c r="B29" s="96">
        <v>44952</v>
      </c>
      <c r="C29" s="97" t="s">
        <v>726</v>
      </c>
      <c r="D29" s="98">
        <v>156.34</v>
      </c>
      <c r="E29" s="88"/>
      <c r="G29" t="s">
        <v>734</v>
      </c>
      <c r="H29" s="88">
        <v>13255.920000000002</v>
      </c>
      <c r="T29" s="99">
        <v>44952</v>
      </c>
      <c r="U29" s="100" t="s">
        <v>724</v>
      </c>
      <c r="V29" s="101">
        <v>1904.62</v>
      </c>
      <c r="W29" s="88"/>
      <c r="X29" t="s">
        <v>724</v>
      </c>
      <c r="Y29" t="s">
        <v>733</v>
      </c>
      <c r="Z29" s="88">
        <v>19053.68</v>
      </c>
    </row>
    <row r="30" spans="2:26">
      <c r="B30" s="99">
        <v>44953</v>
      </c>
      <c r="C30" s="100" t="s">
        <v>723</v>
      </c>
      <c r="D30" s="101">
        <v>883.34</v>
      </c>
      <c r="E30" s="88"/>
      <c r="G30" t="s">
        <v>735</v>
      </c>
      <c r="H30" s="88">
        <v>18772.78</v>
      </c>
      <c r="T30" s="96">
        <v>44952</v>
      </c>
      <c r="U30" s="97" t="s">
        <v>726</v>
      </c>
      <c r="V30" s="98">
        <v>156.34</v>
      </c>
      <c r="W30" s="88"/>
      <c r="Y30" t="s">
        <v>734</v>
      </c>
      <c r="Z30" s="88">
        <v>13255.920000000002</v>
      </c>
    </row>
    <row r="31" spans="2:26">
      <c r="B31" s="96">
        <v>44955</v>
      </c>
      <c r="C31" s="97" t="s">
        <v>728</v>
      </c>
      <c r="D31" s="98">
        <v>3838.87</v>
      </c>
      <c r="E31" s="88"/>
      <c r="G31" t="s">
        <v>742</v>
      </c>
      <c r="H31" s="88">
        <v>24733.46</v>
      </c>
      <c r="T31" s="99">
        <v>44953</v>
      </c>
      <c r="U31" s="100" t="s">
        <v>723</v>
      </c>
      <c r="V31" s="101">
        <v>883.34</v>
      </c>
      <c r="W31" s="88"/>
      <c r="Y31" t="s">
        <v>735</v>
      </c>
      <c r="Z31" s="88">
        <v>18772.78</v>
      </c>
    </row>
    <row r="32" spans="2:26">
      <c r="B32" s="99">
        <v>44956</v>
      </c>
      <c r="C32" s="100" t="s">
        <v>723</v>
      </c>
      <c r="D32" s="101">
        <v>787.87</v>
      </c>
      <c r="E32" s="88"/>
      <c r="G32" t="s">
        <v>743</v>
      </c>
      <c r="H32" s="88">
        <v>28607.29</v>
      </c>
      <c r="T32" s="96">
        <v>44955</v>
      </c>
      <c r="U32" s="97" t="s">
        <v>728</v>
      </c>
      <c r="V32" s="98">
        <v>3838.87</v>
      </c>
      <c r="W32" s="88"/>
      <c r="Y32" t="s">
        <v>742</v>
      </c>
      <c r="Z32" s="88">
        <v>24733.46</v>
      </c>
    </row>
    <row r="33" spans="2:26">
      <c r="B33" s="96">
        <v>44956</v>
      </c>
      <c r="C33" s="97" t="s">
        <v>724</v>
      </c>
      <c r="D33" s="98">
        <v>3354.4</v>
      </c>
      <c r="E33" s="88"/>
      <c r="G33" t="s">
        <v>744</v>
      </c>
      <c r="H33" s="88">
        <v>59469.440000000002</v>
      </c>
      <c r="T33" s="99">
        <v>44956</v>
      </c>
      <c r="U33" s="100" t="s">
        <v>723</v>
      </c>
      <c r="V33" s="101">
        <v>787.87</v>
      </c>
      <c r="W33" s="88"/>
      <c r="Y33" t="s">
        <v>743</v>
      </c>
      <c r="Z33" s="88">
        <v>28607.29</v>
      </c>
    </row>
    <row r="34" spans="2:26">
      <c r="B34" s="99">
        <v>44958</v>
      </c>
      <c r="C34" s="100" t="s">
        <v>728</v>
      </c>
      <c r="D34" s="101">
        <v>4467.0200000000004</v>
      </c>
      <c r="E34" s="88"/>
      <c r="F34" t="s">
        <v>749</v>
      </c>
      <c r="H34" s="88">
        <v>163892.57</v>
      </c>
      <c r="T34" s="96">
        <v>44956</v>
      </c>
      <c r="U34" s="97" t="s">
        <v>724</v>
      </c>
      <c r="V34" s="98">
        <v>3354.4</v>
      </c>
      <c r="W34" s="88"/>
      <c r="Y34" t="s">
        <v>744</v>
      </c>
      <c r="Z34" s="88">
        <v>59469.440000000002</v>
      </c>
    </row>
    <row r="35" spans="2:26">
      <c r="B35" s="96">
        <v>44958</v>
      </c>
      <c r="C35" s="97" t="s">
        <v>726</v>
      </c>
      <c r="D35" s="98">
        <v>4434.0600000000004</v>
      </c>
      <c r="E35" s="88"/>
      <c r="F35" t="s">
        <v>736</v>
      </c>
      <c r="H35" s="88">
        <v>600266.97</v>
      </c>
      <c r="T35" s="99">
        <v>44958</v>
      </c>
      <c r="U35" s="100" t="s">
        <v>728</v>
      </c>
      <c r="V35" s="101">
        <v>4467.0200000000004</v>
      </c>
      <c r="W35" s="88"/>
      <c r="X35" t="s">
        <v>749</v>
      </c>
      <c r="Z35" s="88">
        <v>163892.57</v>
      </c>
    </row>
    <row r="36" spans="2:26">
      <c r="B36" s="99">
        <v>44959</v>
      </c>
      <c r="C36" s="100" t="s">
        <v>726</v>
      </c>
      <c r="D36" s="101">
        <v>1970.14</v>
      </c>
      <c r="E36" s="88"/>
      <c r="T36" s="96">
        <v>44958</v>
      </c>
      <c r="U36" s="97" t="s">
        <v>726</v>
      </c>
      <c r="V36" s="98">
        <v>4434.0600000000004</v>
      </c>
      <c r="W36" s="88"/>
      <c r="X36" t="s">
        <v>736</v>
      </c>
      <c r="Z36" s="88">
        <v>600266.97</v>
      </c>
    </row>
    <row r="37" spans="2:26">
      <c r="B37" s="96">
        <v>44959</v>
      </c>
      <c r="C37" s="97" t="s">
        <v>723</v>
      </c>
      <c r="D37" s="98">
        <v>2066.4299999999998</v>
      </c>
      <c r="E37" s="88"/>
      <c r="T37" s="99">
        <v>44959</v>
      </c>
      <c r="U37" s="100" t="s">
        <v>726</v>
      </c>
      <c r="V37" s="101">
        <v>1970.14</v>
      </c>
      <c r="W37" s="88"/>
    </row>
    <row r="38" spans="2:26">
      <c r="B38" s="99">
        <v>44960</v>
      </c>
      <c r="C38" s="100" t="s">
        <v>723</v>
      </c>
      <c r="D38" s="101">
        <v>1797.46</v>
      </c>
      <c r="E38" s="88"/>
      <c r="T38" s="96">
        <v>44959</v>
      </c>
      <c r="U38" s="97" t="s">
        <v>723</v>
      </c>
      <c r="V38" s="98">
        <v>2066.4299999999998</v>
      </c>
      <c r="W38" s="88"/>
    </row>
    <row r="39" spans="2:26">
      <c r="B39" s="96">
        <v>44960</v>
      </c>
      <c r="C39" s="97" t="s">
        <v>726</v>
      </c>
      <c r="D39" s="98">
        <v>1635.13</v>
      </c>
      <c r="E39" s="88"/>
      <c r="T39" s="99">
        <v>44960</v>
      </c>
      <c r="U39" s="100" t="s">
        <v>723</v>
      </c>
      <c r="V39" s="101">
        <v>1797.46</v>
      </c>
      <c r="W39" s="88"/>
    </row>
    <row r="40" spans="2:26">
      <c r="B40" s="99">
        <v>44960</v>
      </c>
      <c r="C40" s="100" t="s">
        <v>723</v>
      </c>
      <c r="D40" s="101">
        <v>3389.24</v>
      </c>
      <c r="E40" s="88"/>
      <c r="T40" s="96">
        <v>44960</v>
      </c>
      <c r="U40" s="97" t="s">
        <v>726</v>
      </c>
      <c r="V40" s="98">
        <v>1635.13</v>
      </c>
      <c r="W40" s="88"/>
    </row>
    <row r="41" spans="2:26">
      <c r="B41" s="96">
        <v>44962</v>
      </c>
      <c r="C41" s="97" t="s">
        <v>728</v>
      </c>
      <c r="D41" s="98">
        <v>1775.61</v>
      </c>
      <c r="E41" s="88"/>
      <c r="T41" s="99">
        <v>44960</v>
      </c>
      <c r="U41" s="100" t="s">
        <v>723</v>
      </c>
      <c r="V41" s="101">
        <v>3389.24</v>
      </c>
      <c r="W41" s="88"/>
    </row>
    <row r="42" spans="2:26">
      <c r="B42" s="99">
        <v>44964</v>
      </c>
      <c r="C42" s="100" t="s">
        <v>726</v>
      </c>
      <c r="D42" s="101">
        <v>67.38</v>
      </c>
      <c r="E42" s="88"/>
      <c r="T42" s="96">
        <v>44962</v>
      </c>
      <c r="U42" s="97" t="s">
        <v>728</v>
      </c>
      <c r="V42" s="98">
        <v>1775.61</v>
      </c>
      <c r="W42" s="88"/>
    </row>
    <row r="43" spans="2:26">
      <c r="B43" s="96">
        <v>44964</v>
      </c>
      <c r="C43" s="97" t="s">
        <v>728</v>
      </c>
      <c r="D43" s="98">
        <v>1363.2</v>
      </c>
      <c r="E43" s="88"/>
      <c r="T43" s="99">
        <v>44964</v>
      </c>
      <c r="U43" s="100" t="s">
        <v>726</v>
      </c>
      <c r="V43" s="101">
        <v>67.38</v>
      </c>
      <c r="W43" s="88"/>
    </row>
    <row r="44" spans="2:26">
      <c r="B44" s="99">
        <v>44964</v>
      </c>
      <c r="C44" s="100" t="s">
        <v>724</v>
      </c>
      <c r="D44" s="101">
        <v>1854.64</v>
      </c>
      <c r="E44" s="88"/>
      <c r="T44" s="96">
        <v>44964</v>
      </c>
      <c r="U44" s="97" t="s">
        <v>728</v>
      </c>
      <c r="V44" s="98">
        <v>1363.2</v>
      </c>
      <c r="W44" s="88"/>
    </row>
    <row r="45" spans="2:26">
      <c r="B45" s="96">
        <v>44965</v>
      </c>
      <c r="C45" s="97" t="s">
        <v>728</v>
      </c>
      <c r="D45" s="98">
        <v>1450.63</v>
      </c>
      <c r="E45" s="88"/>
      <c r="T45" s="99">
        <v>44964</v>
      </c>
      <c r="U45" s="100" t="s">
        <v>724</v>
      </c>
      <c r="V45" s="101">
        <v>1854.64</v>
      </c>
      <c r="W45" s="88"/>
    </row>
    <row r="46" spans="2:26">
      <c r="B46" s="99">
        <v>44965</v>
      </c>
      <c r="C46" s="100" t="s">
        <v>723</v>
      </c>
      <c r="D46" s="101">
        <v>1818.23</v>
      </c>
      <c r="E46" s="88"/>
      <c r="T46" s="96">
        <v>44965</v>
      </c>
      <c r="U46" s="97" t="s">
        <v>728</v>
      </c>
      <c r="V46" s="98">
        <v>1450.63</v>
      </c>
      <c r="W46" s="88"/>
    </row>
    <row r="47" spans="2:26">
      <c r="B47" s="96">
        <v>44965</v>
      </c>
      <c r="C47" s="97" t="s">
        <v>723</v>
      </c>
      <c r="D47" s="98">
        <v>4546.43</v>
      </c>
      <c r="E47" s="88"/>
      <c r="T47" s="99">
        <v>44965</v>
      </c>
      <c r="U47" s="100" t="s">
        <v>723</v>
      </c>
      <c r="V47" s="101">
        <v>1818.23</v>
      </c>
      <c r="W47" s="88"/>
    </row>
    <row r="48" spans="2:26">
      <c r="B48" s="99">
        <v>44966</v>
      </c>
      <c r="C48" s="100" t="s">
        <v>724</v>
      </c>
      <c r="D48" s="101">
        <v>4710.5200000000004</v>
      </c>
      <c r="E48" s="88"/>
      <c r="T48" s="96">
        <v>44965</v>
      </c>
      <c r="U48" s="97" t="s">
        <v>723</v>
      </c>
      <c r="V48" s="98">
        <v>4546.43</v>
      </c>
      <c r="W48" s="88"/>
    </row>
    <row r="49" spans="2:23">
      <c r="B49" s="96">
        <v>44969</v>
      </c>
      <c r="C49" s="97" t="s">
        <v>724</v>
      </c>
      <c r="D49" s="98">
        <v>1482.88</v>
      </c>
      <c r="E49" s="88"/>
      <c r="T49" s="99">
        <v>44966</v>
      </c>
      <c r="U49" s="100" t="s">
        <v>724</v>
      </c>
      <c r="V49" s="101">
        <v>4710.5200000000004</v>
      </c>
      <c r="W49" s="88"/>
    </row>
    <row r="50" spans="2:23">
      <c r="B50" s="99">
        <v>44969</v>
      </c>
      <c r="C50" s="100" t="s">
        <v>728</v>
      </c>
      <c r="D50" s="101">
        <v>2322.23</v>
      </c>
      <c r="E50" s="88"/>
      <c r="T50" s="96">
        <v>44969</v>
      </c>
      <c r="U50" s="97" t="s">
        <v>724</v>
      </c>
      <c r="V50" s="98">
        <v>1482.88</v>
      </c>
      <c r="W50" s="88"/>
    </row>
    <row r="51" spans="2:23">
      <c r="B51" s="96">
        <v>44970</v>
      </c>
      <c r="C51" s="97" t="s">
        <v>728</v>
      </c>
      <c r="D51" s="98">
        <v>1561.53</v>
      </c>
      <c r="E51" s="88"/>
      <c r="T51" s="99">
        <v>44969</v>
      </c>
      <c r="U51" s="100" t="s">
        <v>728</v>
      </c>
      <c r="V51" s="101">
        <v>2322.23</v>
      </c>
      <c r="W51" s="88"/>
    </row>
    <row r="52" spans="2:23">
      <c r="B52" s="99">
        <v>44971</v>
      </c>
      <c r="C52" s="100" t="s">
        <v>724</v>
      </c>
      <c r="D52" s="101">
        <v>4510.13</v>
      </c>
      <c r="E52" s="88"/>
      <c r="T52" s="96">
        <v>44970</v>
      </c>
      <c r="U52" s="97" t="s">
        <v>728</v>
      </c>
      <c r="V52" s="98">
        <v>1561.53</v>
      </c>
      <c r="W52" s="88"/>
    </row>
    <row r="53" spans="2:23">
      <c r="B53" s="96">
        <v>44971</v>
      </c>
      <c r="C53" s="97" t="s">
        <v>728</v>
      </c>
      <c r="D53" s="98">
        <v>1576.29</v>
      </c>
      <c r="E53" s="88"/>
      <c r="T53" s="99">
        <v>44971</v>
      </c>
      <c r="U53" s="100" t="s">
        <v>724</v>
      </c>
      <c r="V53" s="101">
        <v>4510.13</v>
      </c>
      <c r="W53" s="88"/>
    </row>
    <row r="54" spans="2:23">
      <c r="B54" s="99">
        <v>44972</v>
      </c>
      <c r="C54" s="100" t="s">
        <v>726</v>
      </c>
      <c r="D54" s="101">
        <v>4297.68</v>
      </c>
      <c r="E54" s="88"/>
      <c r="T54" s="96">
        <v>44971</v>
      </c>
      <c r="U54" s="97" t="s">
        <v>728</v>
      </c>
      <c r="V54" s="98">
        <v>1576.29</v>
      </c>
      <c r="W54" s="88"/>
    </row>
    <row r="55" spans="2:23">
      <c r="B55" s="96">
        <v>44973</v>
      </c>
      <c r="C55" s="97" t="s">
        <v>723</v>
      </c>
      <c r="D55" s="98">
        <v>43.43</v>
      </c>
      <c r="E55" s="88"/>
      <c r="T55" s="99">
        <v>44972</v>
      </c>
      <c r="U55" s="100" t="s">
        <v>726</v>
      </c>
      <c r="V55" s="101">
        <v>4297.68</v>
      </c>
      <c r="W55" s="88"/>
    </row>
    <row r="56" spans="2:23">
      <c r="B56" s="99">
        <v>44973</v>
      </c>
      <c r="C56" s="100" t="s">
        <v>726</v>
      </c>
      <c r="D56" s="101">
        <v>740.43</v>
      </c>
      <c r="E56" s="88"/>
      <c r="T56" s="96">
        <v>44973</v>
      </c>
      <c r="U56" s="97" t="s">
        <v>723</v>
      </c>
      <c r="V56" s="98">
        <v>43.43</v>
      </c>
      <c r="W56" s="88"/>
    </row>
    <row r="57" spans="2:23">
      <c r="B57" s="96">
        <v>44979</v>
      </c>
      <c r="C57" s="97" t="s">
        <v>728</v>
      </c>
      <c r="D57" s="98">
        <v>554.48</v>
      </c>
      <c r="E57" s="88"/>
      <c r="T57" s="99">
        <v>44973</v>
      </c>
      <c r="U57" s="100" t="s">
        <v>726</v>
      </c>
      <c r="V57" s="101">
        <v>740.43</v>
      </c>
      <c r="W57" s="88"/>
    </row>
    <row r="58" spans="2:23">
      <c r="B58" s="99">
        <v>44979</v>
      </c>
      <c r="C58" s="100" t="s">
        <v>723</v>
      </c>
      <c r="D58" s="101">
        <v>3194.89</v>
      </c>
      <c r="E58" s="88"/>
      <c r="T58" s="96">
        <v>44979</v>
      </c>
      <c r="U58" s="97" t="s">
        <v>728</v>
      </c>
      <c r="V58" s="98">
        <v>554.48</v>
      </c>
      <c r="W58" s="88"/>
    </row>
    <row r="59" spans="2:23">
      <c r="B59" s="96">
        <v>44980</v>
      </c>
      <c r="C59" s="97" t="s">
        <v>728</v>
      </c>
      <c r="D59" s="98">
        <v>4063.91</v>
      </c>
      <c r="E59" s="88"/>
      <c r="T59" s="99">
        <v>44979</v>
      </c>
      <c r="U59" s="100" t="s">
        <v>723</v>
      </c>
      <c r="V59" s="101">
        <v>3194.89</v>
      </c>
      <c r="W59" s="88"/>
    </row>
    <row r="60" spans="2:23">
      <c r="B60" s="99">
        <v>44981</v>
      </c>
      <c r="C60" s="100" t="s">
        <v>724</v>
      </c>
      <c r="D60" s="101">
        <v>697.75</v>
      </c>
      <c r="E60" s="88"/>
      <c r="T60" s="96">
        <v>44980</v>
      </c>
      <c r="U60" s="97" t="s">
        <v>728</v>
      </c>
      <c r="V60" s="98">
        <v>4063.91</v>
      </c>
      <c r="W60" s="88"/>
    </row>
    <row r="61" spans="2:23">
      <c r="B61" s="96">
        <v>44982</v>
      </c>
      <c r="C61" s="97" t="s">
        <v>723</v>
      </c>
      <c r="D61" s="98">
        <v>2938.14</v>
      </c>
      <c r="E61" s="88"/>
      <c r="T61" s="99">
        <v>44981</v>
      </c>
      <c r="U61" s="100" t="s">
        <v>724</v>
      </c>
      <c r="V61" s="101">
        <v>697.75</v>
      </c>
      <c r="W61" s="88"/>
    </row>
    <row r="62" spans="2:23">
      <c r="B62" s="99">
        <v>44982</v>
      </c>
      <c r="C62" s="100" t="s">
        <v>728</v>
      </c>
      <c r="D62" s="101">
        <v>2738.8</v>
      </c>
      <c r="E62" s="88"/>
      <c r="T62" s="96">
        <v>44982</v>
      </c>
      <c r="U62" s="97" t="s">
        <v>723</v>
      </c>
      <c r="V62" s="98">
        <v>2938.14</v>
      </c>
      <c r="W62" s="88"/>
    </row>
    <row r="63" spans="2:23">
      <c r="B63" s="96">
        <v>44986</v>
      </c>
      <c r="C63" s="97" t="s">
        <v>724</v>
      </c>
      <c r="D63" s="98">
        <v>4690.49</v>
      </c>
      <c r="E63" s="88"/>
      <c r="T63" s="99">
        <v>44982</v>
      </c>
      <c r="U63" s="100" t="s">
        <v>728</v>
      </c>
      <c r="V63" s="101">
        <v>2738.8</v>
      </c>
      <c r="W63" s="88"/>
    </row>
    <row r="64" spans="2:23">
      <c r="B64" s="99">
        <v>44987</v>
      </c>
      <c r="C64" s="100" t="s">
        <v>726</v>
      </c>
      <c r="D64" s="101">
        <v>1777.52</v>
      </c>
      <c r="E64" s="88"/>
      <c r="T64" s="96">
        <v>44986</v>
      </c>
      <c r="U64" s="97" t="s">
        <v>724</v>
      </c>
      <c r="V64" s="98">
        <v>4690.49</v>
      </c>
      <c r="W64" s="88"/>
    </row>
    <row r="65" spans="2:23">
      <c r="B65" s="96">
        <v>44990</v>
      </c>
      <c r="C65" s="97" t="s">
        <v>724</v>
      </c>
      <c r="D65" s="98">
        <v>4294.17</v>
      </c>
      <c r="E65" s="88"/>
      <c r="T65" s="99">
        <v>44987</v>
      </c>
      <c r="U65" s="100" t="s">
        <v>726</v>
      </c>
      <c r="V65" s="101">
        <v>1777.52</v>
      </c>
      <c r="W65" s="88"/>
    </row>
    <row r="66" spans="2:23">
      <c r="B66" s="99">
        <v>44993</v>
      </c>
      <c r="C66" s="100" t="s">
        <v>726</v>
      </c>
      <c r="D66" s="101">
        <v>3709.57</v>
      </c>
      <c r="E66" s="88"/>
      <c r="T66" s="96">
        <v>44990</v>
      </c>
      <c r="U66" s="97" t="s">
        <v>724</v>
      </c>
      <c r="V66" s="98">
        <v>4294.17</v>
      </c>
      <c r="W66" s="88"/>
    </row>
    <row r="67" spans="2:23">
      <c r="B67" s="96">
        <v>44994</v>
      </c>
      <c r="C67" s="97" t="s">
        <v>728</v>
      </c>
      <c r="D67" s="98">
        <v>2200.5300000000002</v>
      </c>
      <c r="E67" s="88"/>
      <c r="T67" s="99">
        <v>44993</v>
      </c>
      <c r="U67" s="100" t="s">
        <v>726</v>
      </c>
      <c r="V67" s="101">
        <v>3709.57</v>
      </c>
      <c r="W67" s="88"/>
    </row>
    <row r="68" spans="2:23">
      <c r="B68" s="99">
        <v>44997</v>
      </c>
      <c r="C68" s="100" t="s">
        <v>723</v>
      </c>
      <c r="D68" s="101">
        <v>4410.6099999999997</v>
      </c>
      <c r="E68" s="88"/>
      <c r="T68" s="96">
        <v>44994</v>
      </c>
      <c r="U68" s="97" t="s">
        <v>728</v>
      </c>
      <c r="V68" s="98">
        <v>2200.5300000000002</v>
      </c>
      <c r="W68" s="88"/>
    </row>
    <row r="69" spans="2:23">
      <c r="B69" s="96">
        <v>44997</v>
      </c>
      <c r="C69" s="97" t="s">
        <v>728</v>
      </c>
      <c r="D69" s="98">
        <v>4752.4799999999996</v>
      </c>
      <c r="E69" s="88"/>
      <c r="T69" s="99">
        <v>44997</v>
      </c>
      <c r="U69" s="100" t="s">
        <v>723</v>
      </c>
      <c r="V69" s="101">
        <v>4410.6099999999997</v>
      </c>
      <c r="W69" s="88"/>
    </row>
    <row r="70" spans="2:23">
      <c r="B70" s="99">
        <v>44998</v>
      </c>
      <c r="C70" s="100" t="s">
        <v>724</v>
      </c>
      <c r="D70" s="101">
        <v>3170.86</v>
      </c>
      <c r="E70" s="88"/>
      <c r="T70" s="96">
        <v>44997</v>
      </c>
      <c r="U70" s="97" t="s">
        <v>728</v>
      </c>
      <c r="V70" s="98">
        <v>4752.4799999999996</v>
      </c>
      <c r="W70" s="88"/>
    </row>
    <row r="71" spans="2:23">
      <c r="B71" s="96">
        <v>44999</v>
      </c>
      <c r="C71" s="97" t="s">
        <v>723</v>
      </c>
      <c r="D71" s="98">
        <v>2539.84</v>
      </c>
      <c r="E71" s="88"/>
      <c r="T71" s="99">
        <v>44998</v>
      </c>
      <c r="U71" s="100" t="s">
        <v>724</v>
      </c>
      <c r="V71" s="101">
        <v>3170.86</v>
      </c>
      <c r="W71" s="88"/>
    </row>
    <row r="72" spans="2:23">
      <c r="B72" s="99">
        <v>45000</v>
      </c>
      <c r="C72" s="100" t="s">
        <v>726</v>
      </c>
      <c r="D72" s="101">
        <v>2026.19</v>
      </c>
      <c r="E72" s="88"/>
      <c r="T72" s="96">
        <v>44999</v>
      </c>
      <c r="U72" s="97" t="s">
        <v>723</v>
      </c>
      <c r="V72" s="98">
        <v>2539.84</v>
      </c>
      <c r="W72" s="88"/>
    </row>
    <row r="73" spans="2:23">
      <c r="B73" s="96">
        <v>45001</v>
      </c>
      <c r="C73" s="97" t="s">
        <v>723</v>
      </c>
      <c r="D73" s="98">
        <v>3367.39</v>
      </c>
      <c r="E73" s="88"/>
      <c r="T73" s="99">
        <v>45000</v>
      </c>
      <c r="U73" s="100" t="s">
        <v>726</v>
      </c>
      <c r="V73" s="101">
        <v>2026.19</v>
      </c>
      <c r="W73" s="88"/>
    </row>
    <row r="74" spans="2:23">
      <c r="B74" s="99">
        <v>45001</v>
      </c>
      <c r="C74" s="100" t="s">
        <v>724</v>
      </c>
      <c r="D74" s="101">
        <v>494.38</v>
      </c>
      <c r="E74" s="88"/>
      <c r="T74" s="96">
        <v>45001</v>
      </c>
      <c r="U74" s="97" t="s">
        <v>723</v>
      </c>
      <c r="V74" s="98">
        <v>3367.39</v>
      </c>
      <c r="W74" s="88"/>
    </row>
    <row r="75" spans="2:23">
      <c r="B75" s="96">
        <v>45004</v>
      </c>
      <c r="C75" s="97" t="s">
        <v>728</v>
      </c>
      <c r="D75" s="98">
        <v>4499.43</v>
      </c>
      <c r="E75" s="88"/>
      <c r="T75" s="99">
        <v>45001</v>
      </c>
      <c r="U75" s="100" t="s">
        <v>724</v>
      </c>
      <c r="V75" s="101">
        <v>494.38</v>
      </c>
      <c r="W75" s="88"/>
    </row>
    <row r="76" spans="2:23">
      <c r="B76" s="99">
        <v>45009</v>
      </c>
      <c r="C76" s="100" t="s">
        <v>726</v>
      </c>
      <c r="D76" s="101">
        <v>1723.54</v>
      </c>
      <c r="E76" s="88"/>
      <c r="T76" s="96">
        <v>45004</v>
      </c>
      <c r="U76" s="97" t="s">
        <v>728</v>
      </c>
      <c r="V76" s="98">
        <v>4499.43</v>
      </c>
      <c r="W76" s="88"/>
    </row>
    <row r="77" spans="2:23">
      <c r="B77" s="96">
        <v>45011</v>
      </c>
      <c r="C77" s="97" t="s">
        <v>724</v>
      </c>
      <c r="D77" s="98">
        <v>3263.26</v>
      </c>
      <c r="E77" s="88"/>
      <c r="T77" s="99">
        <v>45009</v>
      </c>
      <c r="U77" s="100" t="s">
        <v>726</v>
      </c>
      <c r="V77" s="101">
        <v>1723.54</v>
      </c>
      <c r="W77" s="88"/>
    </row>
    <row r="78" spans="2:23">
      <c r="B78" s="99">
        <v>45012</v>
      </c>
      <c r="C78" s="100" t="s">
        <v>724</v>
      </c>
      <c r="D78" s="101">
        <v>2859.62</v>
      </c>
      <c r="E78" s="88"/>
      <c r="T78" s="96">
        <v>45011</v>
      </c>
      <c r="U78" s="97" t="s">
        <v>724</v>
      </c>
      <c r="V78" s="98">
        <v>3263.26</v>
      </c>
      <c r="W78" s="88"/>
    </row>
    <row r="79" spans="2:23">
      <c r="B79" s="96">
        <v>45013</v>
      </c>
      <c r="C79" s="97" t="s">
        <v>728</v>
      </c>
      <c r="D79" s="98">
        <v>2220.35</v>
      </c>
      <c r="E79" s="88"/>
      <c r="T79" s="99">
        <v>45012</v>
      </c>
      <c r="U79" s="100" t="s">
        <v>724</v>
      </c>
      <c r="V79" s="101">
        <v>2859.62</v>
      </c>
      <c r="W79" s="88"/>
    </row>
    <row r="80" spans="2:23">
      <c r="B80" s="99">
        <v>45014</v>
      </c>
      <c r="C80" s="100" t="s">
        <v>726</v>
      </c>
      <c r="D80" s="101">
        <v>4272.3999999999996</v>
      </c>
      <c r="E80" s="88"/>
      <c r="T80" s="96">
        <v>45013</v>
      </c>
      <c r="U80" s="97" t="s">
        <v>728</v>
      </c>
      <c r="V80" s="98">
        <v>2220.35</v>
      </c>
      <c r="W80" s="88"/>
    </row>
    <row r="81" spans="2:26">
      <c r="B81" s="102">
        <v>45014</v>
      </c>
      <c r="C81" s="103" t="s">
        <v>728</v>
      </c>
      <c r="D81" s="104">
        <v>2574.33</v>
      </c>
      <c r="E81" s="88"/>
      <c r="T81" s="99">
        <v>45014</v>
      </c>
      <c r="U81" s="100" t="s">
        <v>726</v>
      </c>
      <c r="V81" s="101">
        <v>4272.3999999999996</v>
      </c>
      <c r="W81" s="88"/>
    </row>
    <row r="82" spans="2:26">
      <c r="B82" s="78">
        <v>45017</v>
      </c>
      <c r="C82" t="s">
        <v>723</v>
      </c>
      <c r="D82" s="88">
        <v>4151.47</v>
      </c>
      <c r="E82" s="88"/>
      <c r="G82" s="78">
        <v>45017</v>
      </c>
      <c r="H82" t="s">
        <v>728</v>
      </c>
      <c r="T82" s="102">
        <v>45014</v>
      </c>
      <c r="U82" s="103" t="s">
        <v>728</v>
      </c>
      <c r="V82" s="104">
        <v>2574.33</v>
      </c>
      <c r="W82" s="88"/>
    </row>
    <row r="83" spans="2:26">
      <c r="B83" s="78">
        <v>45017</v>
      </c>
      <c r="C83" t="s">
        <v>728</v>
      </c>
      <c r="D83" s="88">
        <v>5229.01</v>
      </c>
      <c r="E83" s="88"/>
      <c r="G83" s="78">
        <v>45017</v>
      </c>
      <c r="H83" t="s">
        <v>723</v>
      </c>
      <c r="T83" s="78">
        <v>45017</v>
      </c>
      <c r="U83" t="s">
        <v>723</v>
      </c>
      <c r="V83" s="88">
        <v>4151.47</v>
      </c>
      <c r="W83" s="88"/>
      <c r="Y83" s="78">
        <v>45017</v>
      </c>
      <c r="Z83" t="s">
        <v>728</v>
      </c>
    </row>
    <row r="84" spans="2:26">
      <c r="B84" s="78">
        <v>45018</v>
      </c>
      <c r="C84" t="s">
        <v>723</v>
      </c>
      <c r="D84" s="88">
        <v>4213.6499999999996</v>
      </c>
      <c r="E84" s="88"/>
      <c r="G84" s="78">
        <v>45018</v>
      </c>
      <c r="H84" t="s">
        <v>723</v>
      </c>
      <c r="T84" s="78">
        <v>45017</v>
      </c>
      <c r="U84" t="s">
        <v>728</v>
      </c>
      <c r="V84" s="88">
        <v>5229.01</v>
      </c>
      <c r="W84" s="88"/>
      <c r="Y84" s="78">
        <v>45017</v>
      </c>
      <c r="Z84" t="s">
        <v>723</v>
      </c>
    </row>
    <row r="85" spans="2:26">
      <c r="B85" s="78">
        <v>45019</v>
      </c>
      <c r="C85" t="s">
        <v>728</v>
      </c>
      <c r="D85" s="88">
        <v>1616.68</v>
      </c>
      <c r="E85" s="88"/>
      <c r="G85" s="78">
        <v>45019</v>
      </c>
      <c r="H85" t="s">
        <v>728</v>
      </c>
      <c r="T85" s="78">
        <v>45018</v>
      </c>
      <c r="U85" t="s">
        <v>723</v>
      </c>
      <c r="V85" s="88">
        <v>4213.6499999999996</v>
      </c>
      <c r="W85" s="88"/>
      <c r="Y85" s="78">
        <v>45018</v>
      </c>
      <c r="Z85" t="s">
        <v>723</v>
      </c>
    </row>
    <row r="86" spans="2:26">
      <c r="B86" s="78">
        <v>45020</v>
      </c>
      <c r="C86" t="s">
        <v>726</v>
      </c>
      <c r="D86" s="88">
        <v>2320.8000000000002</v>
      </c>
      <c r="E86" s="88"/>
      <c r="G86" s="78">
        <v>45020</v>
      </c>
      <c r="H86" t="s">
        <v>726</v>
      </c>
      <c r="T86" s="78">
        <v>45019</v>
      </c>
      <c r="U86" t="s">
        <v>728</v>
      </c>
      <c r="V86" s="88">
        <v>1616.68</v>
      </c>
      <c r="W86" s="88"/>
      <c r="Y86" s="78">
        <v>45019</v>
      </c>
      <c r="Z86" t="s">
        <v>728</v>
      </c>
    </row>
    <row r="87" spans="2:26">
      <c r="B87" s="78">
        <v>45022</v>
      </c>
      <c r="C87" t="s">
        <v>723</v>
      </c>
      <c r="D87" s="88">
        <v>3164.17</v>
      </c>
      <c r="E87" s="88"/>
      <c r="G87" s="78">
        <v>45022</v>
      </c>
      <c r="H87" t="s">
        <v>724</v>
      </c>
      <c r="T87" s="78">
        <v>45020</v>
      </c>
      <c r="U87" t="s">
        <v>726</v>
      </c>
      <c r="V87" s="88">
        <v>2320.8000000000002</v>
      </c>
      <c r="W87" s="88"/>
      <c r="Y87" s="78">
        <v>45020</v>
      </c>
      <c r="Z87" t="s">
        <v>726</v>
      </c>
    </row>
    <row r="88" spans="2:26">
      <c r="B88" s="78">
        <v>45022</v>
      </c>
      <c r="C88" t="s">
        <v>724</v>
      </c>
      <c r="D88" s="88">
        <v>4672.2</v>
      </c>
      <c r="E88" s="88"/>
      <c r="G88" s="78">
        <v>45022</v>
      </c>
      <c r="H88" t="s">
        <v>723</v>
      </c>
      <c r="T88" s="78">
        <v>45022</v>
      </c>
      <c r="U88" t="s">
        <v>723</v>
      </c>
      <c r="V88" s="88">
        <v>3164.17</v>
      </c>
      <c r="W88" s="88"/>
      <c r="Y88" s="78">
        <v>45022</v>
      </c>
      <c r="Z88" t="s">
        <v>724</v>
      </c>
    </row>
    <row r="89" spans="2:26">
      <c r="B89" s="78">
        <v>45023</v>
      </c>
      <c r="C89" t="s">
        <v>724</v>
      </c>
      <c r="D89" s="88">
        <v>3544.53</v>
      </c>
      <c r="E89" s="88"/>
      <c r="G89" s="78">
        <v>45023</v>
      </c>
      <c r="H89" t="s">
        <v>724</v>
      </c>
      <c r="T89" s="78">
        <v>45022</v>
      </c>
      <c r="U89" t="s">
        <v>724</v>
      </c>
      <c r="V89" s="88">
        <v>4672.2</v>
      </c>
      <c r="W89" s="88"/>
      <c r="Y89" s="78">
        <v>45022</v>
      </c>
      <c r="Z89" t="s">
        <v>723</v>
      </c>
    </row>
    <row r="90" spans="2:26">
      <c r="B90" s="78">
        <v>45024</v>
      </c>
      <c r="C90" t="s">
        <v>723</v>
      </c>
      <c r="D90" s="88">
        <v>4532.2299999999996</v>
      </c>
      <c r="E90" s="88"/>
      <c r="G90" s="78">
        <v>45024</v>
      </c>
      <c r="H90" t="s">
        <v>723</v>
      </c>
      <c r="T90" s="78">
        <v>45023</v>
      </c>
      <c r="U90" t="s">
        <v>724</v>
      </c>
      <c r="V90" s="88">
        <v>3544.53</v>
      </c>
      <c r="W90" s="88"/>
      <c r="Y90" s="78">
        <v>45023</v>
      </c>
      <c r="Z90" t="s">
        <v>724</v>
      </c>
    </row>
    <row r="91" spans="2:26">
      <c r="B91" s="78">
        <v>45025</v>
      </c>
      <c r="C91" t="s">
        <v>726</v>
      </c>
      <c r="D91" s="88">
        <v>2321.62</v>
      </c>
      <c r="E91" s="88"/>
      <c r="G91" s="78">
        <v>45025</v>
      </c>
      <c r="H91" t="s">
        <v>726</v>
      </c>
      <c r="T91" s="78">
        <v>45024</v>
      </c>
      <c r="U91" t="s">
        <v>723</v>
      </c>
      <c r="V91" s="88">
        <v>4532.2299999999996</v>
      </c>
      <c r="W91" s="88"/>
      <c r="Y91" s="78">
        <v>45024</v>
      </c>
      <c r="Z91" t="s">
        <v>723</v>
      </c>
    </row>
    <row r="92" spans="2:26">
      <c r="B92" s="78">
        <v>45027</v>
      </c>
      <c r="C92" t="s">
        <v>726</v>
      </c>
      <c r="D92" s="88">
        <v>3939.16</v>
      </c>
      <c r="E92" s="88"/>
      <c r="G92" s="78">
        <v>45027</v>
      </c>
      <c r="H92" t="s">
        <v>726</v>
      </c>
      <c r="T92" s="78">
        <v>45025</v>
      </c>
      <c r="U92" t="s">
        <v>726</v>
      </c>
      <c r="V92" s="88">
        <v>2321.62</v>
      </c>
      <c r="W92" s="88"/>
      <c r="Y92" s="78">
        <v>45025</v>
      </c>
      <c r="Z92" t="s">
        <v>726</v>
      </c>
    </row>
    <row r="93" spans="2:26">
      <c r="B93" s="78">
        <v>45031</v>
      </c>
      <c r="C93" t="s">
        <v>723</v>
      </c>
      <c r="D93" s="88">
        <v>2980.75</v>
      </c>
      <c r="E93" s="88"/>
      <c r="G93" s="78">
        <v>45031</v>
      </c>
      <c r="H93" t="s">
        <v>723</v>
      </c>
      <c r="T93" s="78">
        <v>45027</v>
      </c>
      <c r="U93" t="s">
        <v>726</v>
      </c>
      <c r="V93" s="88">
        <v>3939.16</v>
      </c>
      <c r="W93" s="88"/>
      <c r="Y93" s="78">
        <v>45027</v>
      </c>
      <c r="Z93" t="s">
        <v>726</v>
      </c>
    </row>
    <row r="94" spans="2:26">
      <c r="B94" s="78">
        <v>45032</v>
      </c>
      <c r="C94" t="s">
        <v>728</v>
      </c>
      <c r="D94" s="88">
        <v>3062.21</v>
      </c>
      <c r="E94" s="88"/>
      <c r="G94" s="78">
        <v>45032</v>
      </c>
      <c r="H94" t="s">
        <v>728</v>
      </c>
      <c r="T94" s="78">
        <v>45031</v>
      </c>
      <c r="U94" t="s">
        <v>723</v>
      </c>
      <c r="V94" s="88">
        <v>2980.75</v>
      </c>
      <c r="W94" s="88"/>
      <c r="Y94" s="78">
        <v>45031</v>
      </c>
      <c r="Z94" t="s">
        <v>723</v>
      </c>
    </row>
    <row r="95" spans="2:26">
      <c r="B95" s="78">
        <v>45033</v>
      </c>
      <c r="C95" t="s">
        <v>728</v>
      </c>
      <c r="D95" s="88">
        <v>6239.21</v>
      </c>
      <c r="E95" s="88"/>
      <c r="G95" s="78">
        <v>45033</v>
      </c>
      <c r="H95" t="s">
        <v>728</v>
      </c>
      <c r="T95" s="78">
        <v>45032</v>
      </c>
      <c r="U95" t="s">
        <v>728</v>
      </c>
      <c r="V95" s="88">
        <v>3062.21</v>
      </c>
      <c r="W95" s="88"/>
      <c r="Y95" s="78">
        <v>45032</v>
      </c>
      <c r="Z95" t="s">
        <v>728</v>
      </c>
    </row>
    <row r="96" spans="2:26">
      <c r="B96" s="78">
        <v>45034</v>
      </c>
      <c r="C96" t="s">
        <v>723</v>
      </c>
      <c r="D96" s="88">
        <v>2906.82</v>
      </c>
      <c r="E96" s="88"/>
      <c r="G96" s="78">
        <v>45034</v>
      </c>
      <c r="H96" t="s">
        <v>723</v>
      </c>
      <c r="T96" s="78">
        <v>45033</v>
      </c>
      <c r="U96" t="s">
        <v>728</v>
      </c>
      <c r="V96" s="88">
        <v>6239.21</v>
      </c>
      <c r="W96" s="88"/>
      <c r="Y96" s="78">
        <v>45033</v>
      </c>
      <c r="Z96" t="s">
        <v>728</v>
      </c>
    </row>
    <row r="97" spans="2:26">
      <c r="B97" s="78">
        <v>45035</v>
      </c>
      <c r="C97" t="s">
        <v>728</v>
      </c>
      <c r="D97" s="88">
        <v>5812.71</v>
      </c>
      <c r="E97" s="88"/>
      <c r="G97" s="78">
        <v>45035</v>
      </c>
      <c r="H97" t="s">
        <v>728</v>
      </c>
      <c r="T97" s="78">
        <v>45034</v>
      </c>
      <c r="U97" t="s">
        <v>723</v>
      </c>
      <c r="V97" s="88">
        <v>2906.82</v>
      </c>
      <c r="W97" s="88"/>
      <c r="Y97" s="78">
        <v>45034</v>
      </c>
      <c r="Z97" t="s">
        <v>723</v>
      </c>
    </row>
    <row r="98" spans="2:26">
      <c r="B98" s="78">
        <v>45036</v>
      </c>
      <c r="C98" t="s">
        <v>723</v>
      </c>
      <c r="D98" s="88">
        <v>2248.7800000000002</v>
      </c>
      <c r="E98" s="88"/>
      <c r="G98" s="78">
        <v>45036</v>
      </c>
      <c r="H98" t="s">
        <v>726</v>
      </c>
      <c r="T98" s="78">
        <v>45035</v>
      </c>
      <c r="U98" t="s">
        <v>728</v>
      </c>
      <c r="V98" s="88">
        <v>5812.71</v>
      </c>
      <c r="W98" s="88"/>
      <c r="Y98" s="78">
        <v>45035</v>
      </c>
      <c r="Z98" t="s">
        <v>728</v>
      </c>
    </row>
    <row r="99" spans="2:26">
      <c r="B99" s="78">
        <v>45036</v>
      </c>
      <c r="C99" t="s">
        <v>723</v>
      </c>
      <c r="D99" s="88">
        <v>4344.4399999999996</v>
      </c>
      <c r="E99" s="88"/>
      <c r="G99" s="78">
        <v>45036</v>
      </c>
      <c r="H99" t="s">
        <v>723</v>
      </c>
      <c r="T99" s="78">
        <v>45036</v>
      </c>
      <c r="U99" t="s">
        <v>723</v>
      </c>
      <c r="V99" s="88">
        <v>2248.7800000000002</v>
      </c>
      <c r="W99" s="88"/>
      <c r="Y99" s="78">
        <v>45036</v>
      </c>
      <c r="Z99" t="s">
        <v>726</v>
      </c>
    </row>
    <row r="100" spans="2:26">
      <c r="B100" s="78">
        <v>45036</v>
      </c>
      <c r="C100" t="s">
        <v>726</v>
      </c>
      <c r="D100" s="88">
        <v>6139.01</v>
      </c>
      <c r="E100" s="88"/>
      <c r="G100" s="78">
        <v>45036</v>
      </c>
      <c r="H100" t="s">
        <v>723</v>
      </c>
      <c r="T100" s="78">
        <v>45036</v>
      </c>
      <c r="U100" t="s">
        <v>723</v>
      </c>
      <c r="V100" s="88">
        <v>4344.4399999999996</v>
      </c>
      <c r="W100" s="88"/>
      <c r="Y100" s="78">
        <v>45036</v>
      </c>
      <c r="Z100" t="s">
        <v>723</v>
      </c>
    </row>
    <row r="101" spans="2:26">
      <c r="B101" s="78">
        <v>45038</v>
      </c>
      <c r="C101" t="s">
        <v>724</v>
      </c>
      <c r="D101" s="88">
        <v>4981.83</v>
      </c>
      <c r="E101" s="88"/>
      <c r="G101" s="78">
        <v>45038</v>
      </c>
      <c r="H101" t="s">
        <v>724</v>
      </c>
      <c r="T101" s="78">
        <v>45036</v>
      </c>
      <c r="U101" t="s">
        <v>726</v>
      </c>
      <c r="V101" s="88">
        <v>6139.01</v>
      </c>
      <c r="W101" s="88"/>
      <c r="Y101" s="78">
        <v>45036</v>
      </c>
      <c r="Z101" t="s">
        <v>723</v>
      </c>
    </row>
    <row r="102" spans="2:26">
      <c r="B102" s="78">
        <v>45041</v>
      </c>
      <c r="C102" t="s">
        <v>728</v>
      </c>
      <c r="D102" s="88">
        <v>3066.47</v>
      </c>
      <c r="E102" s="88"/>
      <c r="G102" s="78">
        <v>45041</v>
      </c>
      <c r="H102" t="s">
        <v>728</v>
      </c>
      <c r="T102" s="78">
        <v>45038</v>
      </c>
      <c r="U102" t="s">
        <v>724</v>
      </c>
      <c r="V102" s="88">
        <v>4981.83</v>
      </c>
      <c r="W102" s="88"/>
      <c r="Y102" s="78">
        <v>45038</v>
      </c>
      <c r="Z102" t="s">
        <v>724</v>
      </c>
    </row>
    <row r="103" spans="2:26">
      <c r="B103" s="78">
        <v>45041</v>
      </c>
      <c r="C103" t="s">
        <v>723</v>
      </c>
      <c r="D103" s="88">
        <v>2925.87</v>
      </c>
      <c r="E103" s="88"/>
      <c r="G103" s="78">
        <v>45041</v>
      </c>
      <c r="H103" t="s">
        <v>723</v>
      </c>
      <c r="T103" s="78">
        <v>45041</v>
      </c>
      <c r="U103" t="s">
        <v>728</v>
      </c>
      <c r="V103" s="88">
        <v>3066.47</v>
      </c>
      <c r="W103" s="88"/>
      <c r="Y103" s="78">
        <v>45041</v>
      </c>
      <c r="Z103" t="s">
        <v>728</v>
      </c>
    </row>
    <row r="104" spans="2:26">
      <c r="B104" s="78">
        <v>45044</v>
      </c>
      <c r="C104" t="s">
        <v>726</v>
      </c>
      <c r="D104" s="88">
        <v>3360.52</v>
      </c>
      <c r="E104" s="88"/>
      <c r="G104" s="78">
        <v>45044</v>
      </c>
      <c r="H104" t="s">
        <v>726</v>
      </c>
      <c r="T104" s="78">
        <v>45041</v>
      </c>
      <c r="U104" t="s">
        <v>723</v>
      </c>
      <c r="V104" s="88">
        <v>2925.87</v>
      </c>
      <c r="W104" s="88"/>
      <c r="Y104" s="78">
        <v>45041</v>
      </c>
      <c r="Z104" t="s">
        <v>723</v>
      </c>
    </row>
    <row r="105" spans="2:26">
      <c r="B105" s="78">
        <v>45045</v>
      </c>
      <c r="C105" t="s">
        <v>724</v>
      </c>
      <c r="D105" s="88">
        <v>3676.99</v>
      </c>
      <c r="E105" s="88"/>
      <c r="G105" s="78">
        <v>45045</v>
      </c>
      <c r="H105" t="s">
        <v>724</v>
      </c>
      <c r="T105" s="78">
        <v>45044</v>
      </c>
      <c r="U105" t="s">
        <v>726</v>
      </c>
      <c r="V105" s="88">
        <v>3360.52</v>
      </c>
      <c r="W105" s="88"/>
      <c r="Y105" s="78">
        <v>45044</v>
      </c>
      <c r="Z105" t="s">
        <v>726</v>
      </c>
    </row>
    <row r="106" spans="2:26">
      <c r="B106" s="78">
        <v>45045</v>
      </c>
      <c r="C106" t="s">
        <v>724</v>
      </c>
      <c r="D106" s="88">
        <v>6476.19</v>
      </c>
      <c r="E106" s="88"/>
      <c r="G106" s="78">
        <v>45045</v>
      </c>
      <c r="H106" t="s">
        <v>724</v>
      </c>
      <c r="T106" s="78">
        <v>45045</v>
      </c>
      <c r="U106" t="s">
        <v>724</v>
      </c>
      <c r="V106" s="88">
        <v>3676.99</v>
      </c>
      <c r="W106" s="88"/>
      <c r="Y106" s="78">
        <v>45045</v>
      </c>
      <c r="Z106" t="s">
        <v>724</v>
      </c>
    </row>
    <row r="107" spans="2:26">
      <c r="B107" s="78">
        <v>45045</v>
      </c>
      <c r="C107" t="s">
        <v>723</v>
      </c>
      <c r="D107" s="88">
        <v>6205.55</v>
      </c>
      <c r="E107" s="88"/>
      <c r="G107" s="78">
        <v>45045</v>
      </c>
      <c r="H107" t="s">
        <v>724</v>
      </c>
      <c r="T107" s="78">
        <v>45045</v>
      </c>
      <c r="U107" t="s">
        <v>724</v>
      </c>
      <c r="V107" s="88">
        <v>6476.19</v>
      </c>
      <c r="W107" s="88"/>
      <c r="Y107" s="78">
        <v>45045</v>
      </c>
      <c r="Z107" t="s">
        <v>724</v>
      </c>
    </row>
    <row r="108" spans="2:26">
      <c r="B108" s="78">
        <v>45045</v>
      </c>
      <c r="C108" t="s">
        <v>724</v>
      </c>
      <c r="D108" s="88">
        <v>1381.72</v>
      </c>
      <c r="E108" s="88"/>
      <c r="G108" s="78">
        <v>45045</v>
      </c>
      <c r="H108" t="s">
        <v>723</v>
      </c>
      <c r="T108" s="78">
        <v>45045</v>
      </c>
      <c r="U108" t="s">
        <v>723</v>
      </c>
      <c r="V108" s="88">
        <v>6205.55</v>
      </c>
      <c r="W108" s="88"/>
      <c r="Y108" s="78">
        <v>45045</v>
      </c>
      <c r="Z108" t="s">
        <v>724</v>
      </c>
    </row>
    <row r="109" spans="2:26">
      <c r="B109" s="78">
        <v>45046</v>
      </c>
      <c r="C109" t="s">
        <v>723</v>
      </c>
      <c r="D109" s="88">
        <v>1856.15</v>
      </c>
      <c r="E109" s="88"/>
      <c r="G109" s="78">
        <v>45046</v>
      </c>
      <c r="H109" t="s">
        <v>726</v>
      </c>
      <c r="T109" s="78">
        <v>45045</v>
      </c>
      <c r="U109" t="s">
        <v>724</v>
      </c>
      <c r="V109" s="88">
        <v>1381.72</v>
      </c>
      <c r="W109" s="88"/>
      <c r="Y109" s="78">
        <v>45045</v>
      </c>
      <c r="Z109" t="s">
        <v>723</v>
      </c>
    </row>
    <row r="110" spans="2:26">
      <c r="B110" s="78">
        <v>45046</v>
      </c>
      <c r="C110" t="s">
        <v>726</v>
      </c>
      <c r="D110" s="88">
        <v>4677.09</v>
      </c>
      <c r="E110" s="88"/>
      <c r="G110" s="78">
        <v>45046</v>
      </c>
      <c r="H110" t="s">
        <v>723</v>
      </c>
      <c r="T110" s="78">
        <v>45046</v>
      </c>
      <c r="U110" t="s">
        <v>723</v>
      </c>
      <c r="V110" s="88">
        <v>1856.15</v>
      </c>
      <c r="W110" s="88"/>
      <c r="Y110" s="78">
        <v>45046</v>
      </c>
      <c r="Z110" t="s">
        <v>726</v>
      </c>
    </row>
    <row r="111" spans="2:26">
      <c r="B111" s="78">
        <v>45049</v>
      </c>
      <c r="C111" t="s">
        <v>723</v>
      </c>
      <c r="D111" s="88">
        <v>6745.45</v>
      </c>
      <c r="E111" s="88"/>
      <c r="G111" s="78">
        <v>45049</v>
      </c>
      <c r="H111" t="s">
        <v>724</v>
      </c>
      <c r="T111" s="78">
        <v>45046</v>
      </c>
      <c r="U111" t="s">
        <v>726</v>
      </c>
      <c r="V111" s="88">
        <v>4677.09</v>
      </c>
      <c r="W111" s="88"/>
      <c r="Y111" s="78">
        <v>45046</v>
      </c>
      <c r="Z111" t="s">
        <v>723</v>
      </c>
    </row>
    <row r="112" spans="2:26">
      <c r="B112" s="78">
        <v>45049</v>
      </c>
      <c r="C112" t="s">
        <v>724</v>
      </c>
      <c r="D112" s="88">
        <v>3620.88</v>
      </c>
      <c r="E112" s="88"/>
      <c r="G112" s="78">
        <v>45049</v>
      </c>
      <c r="H112" t="s">
        <v>723</v>
      </c>
      <c r="T112" s="78">
        <v>45049</v>
      </c>
      <c r="U112" t="s">
        <v>723</v>
      </c>
      <c r="V112" s="88">
        <v>6745.45</v>
      </c>
      <c r="W112" s="88"/>
      <c r="Y112" s="78">
        <v>45049</v>
      </c>
      <c r="Z112" t="s">
        <v>724</v>
      </c>
    </row>
    <row r="113" spans="2:26">
      <c r="B113" s="78">
        <v>45049</v>
      </c>
      <c r="C113" t="s">
        <v>728</v>
      </c>
      <c r="D113" s="88">
        <v>2483.2399999999998</v>
      </c>
      <c r="E113" s="88"/>
      <c r="G113" s="78">
        <v>45049</v>
      </c>
      <c r="H113" t="s">
        <v>728</v>
      </c>
      <c r="T113" s="78">
        <v>45049</v>
      </c>
      <c r="U113" t="s">
        <v>724</v>
      </c>
      <c r="V113" s="88">
        <v>3620.88</v>
      </c>
      <c r="W113" s="88"/>
      <c r="Y113" s="78">
        <v>45049</v>
      </c>
      <c r="Z113" t="s">
        <v>723</v>
      </c>
    </row>
    <row r="114" spans="2:26">
      <c r="B114" s="78">
        <v>45050</v>
      </c>
      <c r="C114" t="s">
        <v>723</v>
      </c>
      <c r="D114" s="88">
        <v>6701.15</v>
      </c>
      <c r="E114" s="88"/>
      <c r="G114" s="78">
        <v>45050</v>
      </c>
      <c r="H114" t="s">
        <v>723</v>
      </c>
      <c r="T114" s="78">
        <v>45049</v>
      </c>
      <c r="U114" t="s">
        <v>728</v>
      </c>
      <c r="V114" s="88">
        <v>2483.2399999999998</v>
      </c>
      <c r="W114" s="88"/>
      <c r="Y114" s="78">
        <v>45049</v>
      </c>
      <c r="Z114" t="s">
        <v>728</v>
      </c>
    </row>
    <row r="115" spans="2:26">
      <c r="B115" s="78">
        <v>45055</v>
      </c>
      <c r="C115" t="s">
        <v>728</v>
      </c>
      <c r="D115" s="88">
        <v>3161.1</v>
      </c>
      <c r="E115" s="88"/>
      <c r="G115" s="78">
        <v>45055</v>
      </c>
      <c r="H115" t="s">
        <v>726</v>
      </c>
      <c r="T115" s="78">
        <v>45050</v>
      </c>
      <c r="U115" t="s">
        <v>723</v>
      </c>
      <c r="V115" s="88">
        <v>6701.15</v>
      </c>
      <c r="W115" s="88"/>
      <c r="Y115" s="78">
        <v>45050</v>
      </c>
      <c r="Z115" t="s">
        <v>723</v>
      </c>
    </row>
    <row r="116" spans="2:26">
      <c r="B116" s="78">
        <v>45055</v>
      </c>
      <c r="C116" t="s">
        <v>726</v>
      </c>
      <c r="D116" s="88">
        <v>5294.68</v>
      </c>
      <c r="E116" s="88"/>
      <c r="G116" s="78">
        <v>45055</v>
      </c>
      <c r="H116" t="s">
        <v>728</v>
      </c>
      <c r="T116" s="78">
        <v>45055</v>
      </c>
      <c r="U116" t="s">
        <v>728</v>
      </c>
      <c r="V116" s="88">
        <v>3161.1</v>
      </c>
      <c r="W116" s="88"/>
      <c r="Y116" s="78">
        <v>45055</v>
      </c>
      <c r="Z116" t="s">
        <v>726</v>
      </c>
    </row>
    <row r="117" spans="2:26">
      <c r="B117" s="78">
        <v>45056</v>
      </c>
      <c r="C117" t="s">
        <v>723</v>
      </c>
      <c r="D117" s="88">
        <v>1605.18</v>
      </c>
      <c r="E117" s="88"/>
      <c r="G117" s="78">
        <v>45056</v>
      </c>
      <c r="H117" t="s">
        <v>723</v>
      </c>
      <c r="T117" s="78">
        <v>45055</v>
      </c>
      <c r="U117" t="s">
        <v>726</v>
      </c>
      <c r="V117" s="88">
        <v>5294.68</v>
      </c>
      <c r="W117" s="88"/>
      <c r="Y117" s="78">
        <v>45055</v>
      </c>
      <c r="Z117" t="s">
        <v>728</v>
      </c>
    </row>
    <row r="118" spans="2:26">
      <c r="B118" s="78">
        <v>45056</v>
      </c>
      <c r="C118" t="s">
        <v>728</v>
      </c>
      <c r="D118" s="88">
        <v>3641.61</v>
      </c>
      <c r="E118" s="88"/>
      <c r="G118" s="78">
        <v>45056</v>
      </c>
      <c r="H118" t="s">
        <v>724</v>
      </c>
      <c r="T118" s="78">
        <v>45056</v>
      </c>
      <c r="U118" t="s">
        <v>723</v>
      </c>
      <c r="V118" s="88">
        <v>1605.18</v>
      </c>
      <c r="W118" s="88"/>
      <c r="Y118" s="78">
        <v>45056</v>
      </c>
      <c r="Z118" t="s">
        <v>723</v>
      </c>
    </row>
    <row r="119" spans="2:26">
      <c r="B119" s="78">
        <v>45056</v>
      </c>
      <c r="C119" t="s">
        <v>724</v>
      </c>
      <c r="D119" s="88">
        <v>6773.57</v>
      </c>
      <c r="E119" s="88"/>
      <c r="G119" s="78">
        <v>45056</v>
      </c>
      <c r="H119" t="s">
        <v>728</v>
      </c>
      <c r="T119" s="78">
        <v>45056</v>
      </c>
      <c r="U119" t="s">
        <v>728</v>
      </c>
      <c r="V119" s="88">
        <v>3641.61</v>
      </c>
      <c r="W119" s="88"/>
      <c r="Y119" s="78">
        <v>45056</v>
      </c>
      <c r="Z119" t="s">
        <v>724</v>
      </c>
    </row>
    <row r="120" spans="2:26">
      <c r="B120" s="78">
        <v>45057</v>
      </c>
      <c r="C120" t="s">
        <v>724</v>
      </c>
      <c r="D120" s="88">
        <v>2727.85</v>
      </c>
      <c r="E120" s="88"/>
      <c r="G120" s="78">
        <v>45057</v>
      </c>
      <c r="H120" t="s">
        <v>724</v>
      </c>
      <c r="T120" s="78">
        <v>45056</v>
      </c>
      <c r="U120" t="s">
        <v>724</v>
      </c>
      <c r="V120" s="88">
        <v>6773.57</v>
      </c>
      <c r="W120" s="88"/>
      <c r="Y120" s="78">
        <v>45056</v>
      </c>
      <c r="Z120" t="s">
        <v>728</v>
      </c>
    </row>
    <row r="121" spans="2:26">
      <c r="B121" s="78">
        <v>45058</v>
      </c>
      <c r="C121" t="s">
        <v>724</v>
      </c>
      <c r="D121" s="88">
        <v>5203.76</v>
      </c>
      <c r="E121" s="88"/>
      <c r="G121" s="78">
        <v>45058</v>
      </c>
      <c r="H121" t="s">
        <v>724</v>
      </c>
      <c r="T121" s="78">
        <v>45057</v>
      </c>
      <c r="U121" t="s">
        <v>724</v>
      </c>
      <c r="V121" s="88">
        <v>2727.85</v>
      </c>
      <c r="W121" s="88"/>
      <c r="Y121" s="78">
        <v>45057</v>
      </c>
      <c r="Z121" t="s">
        <v>724</v>
      </c>
    </row>
    <row r="122" spans="2:26">
      <c r="B122" s="78">
        <v>45059</v>
      </c>
      <c r="C122" t="s">
        <v>726</v>
      </c>
      <c r="D122" s="88">
        <v>4230.25</v>
      </c>
      <c r="E122" s="88"/>
      <c r="G122" s="78">
        <v>45059</v>
      </c>
      <c r="H122" t="s">
        <v>726</v>
      </c>
      <c r="T122" s="78">
        <v>45058</v>
      </c>
      <c r="U122" t="s">
        <v>724</v>
      </c>
      <c r="V122" s="88">
        <v>5203.76</v>
      </c>
      <c r="W122" s="88"/>
      <c r="Y122" s="78">
        <v>45058</v>
      </c>
      <c r="Z122" t="s">
        <v>724</v>
      </c>
    </row>
    <row r="123" spans="2:26">
      <c r="B123" s="78">
        <v>45063</v>
      </c>
      <c r="C123" t="s">
        <v>723</v>
      </c>
      <c r="D123" s="88">
        <v>4971.41</v>
      </c>
      <c r="E123" s="88"/>
      <c r="G123" s="78">
        <v>45063</v>
      </c>
      <c r="H123" t="s">
        <v>723</v>
      </c>
      <c r="T123" s="78">
        <v>45059</v>
      </c>
      <c r="U123" t="s">
        <v>726</v>
      </c>
      <c r="V123" s="88">
        <v>4230.25</v>
      </c>
      <c r="W123" s="88"/>
      <c r="Y123" s="78">
        <v>45059</v>
      </c>
      <c r="Z123" t="s">
        <v>726</v>
      </c>
    </row>
    <row r="124" spans="2:26">
      <c r="B124" s="78">
        <v>45064</v>
      </c>
      <c r="C124" t="s">
        <v>724</v>
      </c>
      <c r="D124" s="88">
        <v>4893.76</v>
      </c>
      <c r="E124" s="88"/>
      <c r="G124" s="78">
        <v>45064</v>
      </c>
      <c r="H124" t="s">
        <v>724</v>
      </c>
      <c r="T124" s="78">
        <v>45063</v>
      </c>
      <c r="U124" t="s">
        <v>723</v>
      </c>
      <c r="V124" s="88">
        <v>4971.41</v>
      </c>
      <c r="W124" s="88"/>
      <c r="Y124" s="78">
        <v>45063</v>
      </c>
      <c r="Z124" t="s">
        <v>723</v>
      </c>
    </row>
    <row r="125" spans="2:26">
      <c r="B125" s="78">
        <v>45068</v>
      </c>
      <c r="C125" t="s">
        <v>724</v>
      </c>
      <c r="D125" s="88">
        <v>4069.41</v>
      </c>
      <c r="E125" s="88"/>
      <c r="G125" s="78">
        <v>45068</v>
      </c>
      <c r="H125" t="s">
        <v>724</v>
      </c>
      <c r="T125" s="78">
        <v>45064</v>
      </c>
      <c r="U125" t="s">
        <v>724</v>
      </c>
      <c r="V125" s="88">
        <v>4893.76</v>
      </c>
      <c r="W125" s="88"/>
      <c r="Y125" s="78">
        <v>45064</v>
      </c>
      <c r="Z125" t="s">
        <v>724</v>
      </c>
    </row>
    <row r="126" spans="2:26">
      <c r="B126" s="78">
        <v>45069</v>
      </c>
      <c r="C126" t="s">
        <v>728</v>
      </c>
      <c r="D126" s="88">
        <v>6304.83</v>
      </c>
      <c r="E126" s="88"/>
      <c r="G126" s="78">
        <v>45069</v>
      </c>
      <c r="H126" t="s">
        <v>728</v>
      </c>
      <c r="T126" s="78">
        <v>45068</v>
      </c>
      <c r="U126" t="s">
        <v>724</v>
      </c>
      <c r="V126" s="88">
        <v>4069.41</v>
      </c>
      <c r="W126" s="88"/>
      <c r="Y126" s="78">
        <v>45068</v>
      </c>
      <c r="Z126" t="s">
        <v>724</v>
      </c>
    </row>
    <row r="127" spans="2:26">
      <c r="B127" s="78">
        <v>45069</v>
      </c>
      <c r="C127" t="s">
        <v>726</v>
      </c>
      <c r="D127" s="88">
        <v>1534.98</v>
      </c>
      <c r="E127" s="88"/>
      <c r="G127" s="78">
        <v>45069</v>
      </c>
      <c r="H127" t="s">
        <v>726</v>
      </c>
      <c r="T127" s="78">
        <v>45069</v>
      </c>
      <c r="U127" t="s">
        <v>728</v>
      </c>
      <c r="V127" s="88">
        <v>6304.83</v>
      </c>
      <c r="W127" s="88"/>
      <c r="Y127" s="78">
        <v>45069</v>
      </c>
      <c r="Z127" t="s">
        <v>728</v>
      </c>
    </row>
    <row r="128" spans="2:26">
      <c r="B128" s="78">
        <v>45070</v>
      </c>
      <c r="C128" t="s">
        <v>726</v>
      </c>
      <c r="D128" s="88">
        <v>6195.64</v>
      </c>
      <c r="E128" s="88"/>
      <c r="G128" s="78">
        <v>45070</v>
      </c>
      <c r="H128" t="s">
        <v>726</v>
      </c>
      <c r="T128" s="78">
        <v>45069</v>
      </c>
      <c r="U128" t="s">
        <v>726</v>
      </c>
      <c r="V128" s="88">
        <v>1534.98</v>
      </c>
      <c r="W128" s="88"/>
      <c r="Y128" s="78">
        <v>45069</v>
      </c>
      <c r="Z128" t="s">
        <v>726</v>
      </c>
    </row>
    <row r="129" spans="2:26">
      <c r="B129" s="78">
        <v>45071</v>
      </c>
      <c r="C129" t="s">
        <v>728</v>
      </c>
      <c r="D129" s="88">
        <v>3860.31</v>
      </c>
      <c r="E129" s="88"/>
      <c r="G129" s="78">
        <v>45071</v>
      </c>
      <c r="H129" t="s">
        <v>728</v>
      </c>
      <c r="T129" s="78">
        <v>45070</v>
      </c>
      <c r="U129" t="s">
        <v>726</v>
      </c>
      <c r="V129" s="88">
        <v>6195.64</v>
      </c>
      <c r="W129" s="88"/>
      <c r="Y129" s="78">
        <v>45070</v>
      </c>
      <c r="Z129" t="s">
        <v>726</v>
      </c>
    </row>
    <row r="130" spans="2:26">
      <c r="B130" s="78">
        <v>45072</v>
      </c>
      <c r="C130" t="s">
        <v>728</v>
      </c>
      <c r="D130" s="88">
        <v>6436.11</v>
      </c>
      <c r="E130" s="88"/>
      <c r="G130" s="78">
        <v>45072</v>
      </c>
      <c r="H130" t="s">
        <v>728</v>
      </c>
      <c r="T130" s="78">
        <v>45071</v>
      </c>
      <c r="U130" t="s">
        <v>728</v>
      </c>
      <c r="V130" s="88">
        <v>3860.31</v>
      </c>
      <c r="W130" s="88"/>
      <c r="Y130" s="78">
        <v>45071</v>
      </c>
      <c r="Z130" t="s">
        <v>728</v>
      </c>
    </row>
    <row r="131" spans="2:26">
      <c r="B131" s="78">
        <v>45072</v>
      </c>
      <c r="C131" t="s">
        <v>728</v>
      </c>
      <c r="D131" s="88">
        <v>2174.94</v>
      </c>
      <c r="E131" s="88"/>
      <c r="G131" s="78">
        <v>45072</v>
      </c>
      <c r="H131" t="s">
        <v>728</v>
      </c>
      <c r="T131" s="78">
        <v>45072</v>
      </c>
      <c r="U131" t="s">
        <v>728</v>
      </c>
      <c r="V131" s="88">
        <v>6436.11</v>
      </c>
      <c r="W131" s="88"/>
      <c r="Y131" s="78">
        <v>45072</v>
      </c>
      <c r="Z131" t="s">
        <v>728</v>
      </c>
    </row>
    <row r="132" spans="2:26">
      <c r="B132" s="78">
        <v>45073</v>
      </c>
      <c r="C132" t="s">
        <v>726</v>
      </c>
      <c r="D132" s="88">
        <v>3183.81</v>
      </c>
      <c r="E132" s="88"/>
      <c r="G132" s="78">
        <v>45073</v>
      </c>
      <c r="H132" t="s">
        <v>726</v>
      </c>
      <c r="T132" s="78">
        <v>45072</v>
      </c>
      <c r="U132" t="s">
        <v>728</v>
      </c>
      <c r="V132" s="88">
        <v>2174.94</v>
      </c>
      <c r="W132" s="88"/>
      <c r="Y132" s="78">
        <v>45072</v>
      </c>
      <c r="Z132" t="s">
        <v>728</v>
      </c>
    </row>
    <row r="133" spans="2:26">
      <c r="B133" s="78">
        <v>45074</v>
      </c>
      <c r="C133" t="s">
        <v>726</v>
      </c>
      <c r="D133" s="88">
        <v>4127.82</v>
      </c>
      <c r="E133" s="88"/>
      <c r="G133" s="78">
        <v>45074</v>
      </c>
      <c r="H133" t="s">
        <v>728</v>
      </c>
      <c r="T133" s="78">
        <v>45073</v>
      </c>
      <c r="U133" t="s">
        <v>726</v>
      </c>
      <c r="V133" s="88">
        <v>3183.81</v>
      </c>
      <c r="W133" s="88"/>
      <c r="Y133" s="78">
        <v>45073</v>
      </c>
      <c r="Z133" t="s">
        <v>726</v>
      </c>
    </row>
    <row r="134" spans="2:26">
      <c r="B134" s="78">
        <v>45074</v>
      </c>
      <c r="C134" t="s">
        <v>728</v>
      </c>
      <c r="D134" s="88">
        <v>1335.64</v>
      </c>
      <c r="E134" s="88"/>
      <c r="G134" s="78">
        <v>45074</v>
      </c>
      <c r="H134" t="s">
        <v>726</v>
      </c>
      <c r="T134" s="78">
        <v>45074</v>
      </c>
      <c r="U134" t="s">
        <v>726</v>
      </c>
      <c r="V134" s="88">
        <v>4127.82</v>
      </c>
      <c r="W134" s="88"/>
      <c r="Y134" s="78">
        <v>45074</v>
      </c>
      <c r="Z134" t="s">
        <v>728</v>
      </c>
    </row>
    <row r="135" spans="2:26">
      <c r="B135" s="78">
        <v>45075</v>
      </c>
      <c r="C135" t="s">
        <v>728</v>
      </c>
      <c r="D135" s="88">
        <v>6973.41</v>
      </c>
      <c r="E135" s="88"/>
      <c r="G135" s="78">
        <v>45075</v>
      </c>
      <c r="H135" t="s">
        <v>728</v>
      </c>
      <c r="T135" s="78">
        <v>45074</v>
      </c>
      <c r="U135" t="s">
        <v>728</v>
      </c>
      <c r="V135" s="88">
        <v>1335.64</v>
      </c>
      <c r="W135" s="88"/>
      <c r="Y135" s="78">
        <v>45074</v>
      </c>
      <c r="Z135" t="s">
        <v>726</v>
      </c>
    </row>
    <row r="136" spans="2:26">
      <c r="B136" s="78">
        <v>45076</v>
      </c>
      <c r="C136" t="s">
        <v>728</v>
      </c>
      <c r="D136" s="88">
        <v>2386.48</v>
      </c>
      <c r="E136" s="88"/>
      <c r="G136" s="78">
        <v>45076</v>
      </c>
      <c r="H136" t="s">
        <v>728</v>
      </c>
      <c r="T136" s="78">
        <v>45075</v>
      </c>
      <c r="U136" t="s">
        <v>728</v>
      </c>
      <c r="V136" s="88">
        <v>6973.41</v>
      </c>
      <c r="W136" s="88"/>
      <c r="Y136" s="78">
        <v>45075</v>
      </c>
      <c r="Z136" t="s">
        <v>728</v>
      </c>
    </row>
    <row r="137" spans="2:26">
      <c r="B137" s="78">
        <v>45077</v>
      </c>
      <c r="C137" t="s">
        <v>724</v>
      </c>
      <c r="D137" s="88">
        <v>1318.06</v>
      </c>
      <c r="E137" s="88"/>
      <c r="G137" s="78">
        <v>45077</v>
      </c>
      <c r="H137" t="s">
        <v>724</v>
      </c>
      <c r="T137" s="78">
        <v>45076</v>
      </c>
      <c r="U137" t="s">
        <v>728</v>
      </c>
      <c r="V137" s="88">
        <v>2386.48</v>
      </c>
      <c r="W137" s="88"/>
      <c r="Y137" s="78">
        <v>45076</v>
      </c>
      <c r="Z137" t="s">
        <v>728</v>
      </c>
    </row>
    <row r="138" spans="2:26">
      <c r="B138" s="78">
        <v>45078</v>
      </c>
      <c r="C138" t="s">
        <v>724</v>
      </c>
      <c r="D138" s="88">
        <v>7224.19</v>
      </c>
      <c r="E138" s="88"/>
      <c r="G138" s="78">
        <v>45078</v>
      </c>
      <c r="H138" t="s">
        <v>724</v>
      </c>
      <c r="T138" s="78">
        <v>45077</v>
      </c>
      <c r="U138" t="s">
        <v>724</v>
      </c>
      <c r="V138" s="88">
        <v>1318.06</v>
      </c>
      <c r="W138" s="88"/>
      <c r="Y138" s="78">
        <v>45077</v>
      </c>
      <c r="Z138" t="s">
        <v>724</v>
      </c>
    </row>
    <row r="139" spans="2:26">
      <c r="B139" s="78">
        <v>45079</v>
      </c>
      <c r="C139" t="s">
        <v>728</v>
      </c>
      <c r="D139" s="88">
        <v>4695.04</v>
      </c>
      <c r="E139" s="88"/>
      <c r="G139" s="78">
        <v>45079</v>
      </c>
      <c r="H139" t="s">
        <v>726</v>
      </c>
      <c r="T139" s="78">
        <v>45078</v>
      </c>
      <c r="U139" t="s">
        <v>724</v>
      </c>
      <c r="V139" s="88">
        <v>7224.19</v>
      </c>
      <c r="W139" s="88"/>
      <c r="Y139" s="78">
        <v>45078</v>
      </c>
      <c r="Z139" t="s">
        <v>724</v>
      </c>
    </row>
    <row r="140" spans="2:26">
      <c r="B140" s="78">
        <v>45079</v>
      </c>
      <c r="C140" t="s">
        <v>726</v>
      </c>
      <c r="D140" s="88">
        <v>7674.41</v>
      </c>
      <c r="E140" s="88"/>
      <c r="G140" s="78">
        <v>45079</v>
      </c>
      <c r="H140" t="s">
        <v>728</v>
      </c>
      <c r="T140" s="78">
        <v>45079</v>
      </c>
      <c r="U140" t="s">
        <v>728</v>
      </c>
      <c r="V140" s="88">
        <v>4695.04</v>
      </c>
      <c r="W140" s="88"/>
      <c r="Y140" s="78">
        <v>45079</v>
      </c>
      <c r="Z140" t="s">
        <v>726</v>
      </c>
    </row>
    <row r="141" spans="2:26">
      <c r="B141" s="78">
        <v>45080</v>
      </c>
      <c r="C141" t="s">
        <v>724</v>
      </c>
      <c r="D141" s="88">
        <v>5521.63</v>
      </c>
      <c r="E141" s="88"/>
      <c r="G141" s="78">
        <v>45080</v>
      </c>
      <c r="H141" t="s">
        <v>724</v>
      </c>
      <c r="T141" s="78">
        <v>45079</v>
      </c>
      <c r="U141" t="s">
        <v>726</v>
      </c>
      <c r="V141" s="88">
        <v>7674.41</v>
      </c>
      <c r="W141" s="88"/>
      <c r="Y141" s="78">
        <v>45079</v>
      </c>
      <c r="Z141" t="s">
        <v>728</v>
      </c>
    </row>
    <row r="142" spans="2:26">
      <c r="B142" s="78">
        <v>45081</v>
      </c>
      <c r="C142" t="s">
        <v>726</v>
      </c>
      <c r="D142" s="88">
        <v>4431.01</v>
      </c>
      <c r="E142" s="88"/>
      <c r="G142" s="78">
        <v>45081</v>
      </c>
      <c r="H142" t="s">
        <v>726</v>
      </c>
      <c r="T142" s="78">
        <v>45080</v>
      </c>
      <c r="U142" t="s">
        <v>724</v>
      </c>
      <c r="V142" s="88">
        <v>5521.63</v>
      </c>
      <c r="W142" s="88"/>
      <c r="Y142" s="78">
        <v>45080</v>
      </c>
      <c r="Z142" t="s">
        <v>724</v>
      </c>
    </row>
    <row r="143" spans="2:26">
      <c r="B143" s="78">
        <v>45082</v>
      </c>
      <c r="C143" t="s">
        <v>724</v>
      </c>
      <c r="D143" s="88">
        <v>6269.22</v>
      </c>
      <c r="E143" s="88"/>
      <c r="G143" s="78">
        <v>45082</v>
      </c>
      <c r="H143" t="s">
        <v>724</v>
      </c>
      <c r="T143" s="78">
        <v>45081</v>
      </c>
      <c r="U143" t="s">
        <v>726</v>
      </c>
      <c r="V143" s="88">
        <v>4431.01</v>
      </c>
      <c r="W143" s="88"/>
      <c r="Y143" s="78">
        <v>45081</v>
      </c>
      <c r="Z143" t="s">
        <v>726</v>
      </c>
    </row>
    <row r="144" spans="2:26">
      <c r="B144" s="78">
        <v>45082</v>
      </c>
      <c r="C144" t="s">
        <v>728</v>
      </c>
      <c r="D144" s="88">
        <v>6099.11</v>
      </c>
      <c r="E144" s="88"/>
      <c r="G144" s="78">
        <v>45082</v>
      </c>
      <c r="H144" t="s">
        <v>728</v>
      </c>
      <c r="T144" s="78">
        <v>45082</v>
      </c>
      <c r="U144" t="s">
        <v>724</v>
      </c>
      <c r="V144" s="88">
        <v>6269.22</v>
      </c>
      <c r="W144" s="88"/>
      <c r="Y144" s="78">
        <v>45082</v>
      </c>
      <c r="Z144" t="s">
        <v>724</v>
      </c>
    </row>
    <row r="145" spans="2:26">
      <c r="B145" s="78">
        <v>45082</v>
      </c>
      <c r="C145" t="s">
        <v>724</v>
      </c>
      <c r="D145" s="88">
        <v>6523.01</v>
      </c>
      <c r="E145" s="88"/>
      <c r="G145" s="78">
        <v>45082</v>
      </c>
      <c r="H145" t="s">
        <v>724</v>
      </c>
      <c r="T145" s="78">
        <v>45082</v>
      </c>
      <c r="U145" t="s">
        <v>728</v>
      </c>
      <c r="V145" s="88">
        <v>6099.11</v>
      </c>
      <c r="W145" s="88"/>
      <c r="Y145" s="78">
        <v>45082</v>
      </c>
      <c r="Z145" t="s">
        <v>728</v>
      </c>
    </row>
    <row r="146" spans="2:26">
      <c r="B146" s="78">
        <v>45084</v>
      </c>
      <c r="C146" t="s">
        <v>726</v>
      </c>
      <c r="D146" s="88">
        <v>5528.17</v>
      </c>
      <c r="E146" s="88"/>
      <c r="G146" s="78">
        <v>45084</v>
      </c>
      <c r="H146" t="s">
        <v>726</v>
      </c>
      <c r="T146" s="78">
        <v>45082</v>
      </c>
      <c r="U146" t="s">
        <v>724</v>
      </c>
      <c r="V146" s="88">
        <v>6523.01</v>
      </c>
      <c r="W146" s="88"/>
      <c r="Y146" s="78">
        <v>45082</v>
      </c>
      <c r="Z146" t="s">
        <v>724</v>
      </c>
    </row>
    <row r="147" spans="2:26">
      <c r="B147" s="78">
        <v>45084</v>
      </c>
      <c r="C147" t="s">
        <v>726</v>
      </c>
      <c r="D147" s="88">
        <v>4519.07</v>
      </c>
      <c r="E147" s="88"/>
      <c r="G147" s="78">
        <v>45084</v>
      </c>
      <c r="H147" t="s">
        <v>726</v>
      </c>
      <c r="T147" s="78">
        <v>45084</v>
      </c>
      <c r="U147" t="s">
        <v>726</v>
      </c>
      <c r="V147" s="88">
        <v>5528.17</v>
      </c>
      <c r="W147" s="88"/>
      <c r="Y147" s="78">
        <v>45084</v>
      </c>
      <c r="Z147" t="s">
        <v>726</v>
      </c>
    </row>
    <row r="148" spans="2:26">
      <c r="B148" s="78">
        <v>45085</v>
      </c>
      <c r="C148" t="s">
        <v>723</v>
      </c>
      <c r="D148" s="88">
        <v>5209.62</v>
      </c>
      <c r="E148" s="88"/>
      <c r="G148" s="78">
        <v>45085</v>
      </c>
      <c r="H148" t="s">
        <v>723</v>
      </c>
      <c r="T148" s="78">
        <v>45084</v>
      </c>
      <c r="U148" t="s">
        <v>726</v>
      </c>
      <c r="V148" s="88">
        <v>4519.07</v>
      </c>
      <c r="W148" s="88"/>
      <c r="Y148" s="78">
        <v>45084</v>
      </c>
      <c r="Z148" t="s">
        <v>726</v>
      </c>
    </row>
    <row r="149" spans="2:26">
      <c r="B149" s="78">
        <v>45085</v>
      </c>
      <c r="C149" t="s">
        <v>723</v>
      </c>
      <c r="D149" s="88">
        <v>7011.71</v>
      </c>
      <c r="E149" s="88"/>
      <c r="G149" s="78">
        <v>45085</v>
      </c>
      <c r="H149" t="s">
        <v>726</v>
      </c>
      <c r="T149" s="78">
        <v>45085</v>
      </c>
      <c r="U149" t="s">
        <v>723</v>
      </c>
      <c r="V149" s="88">
        <v>5209.62</v>
      </c>
      <c r="W149" s="88"/>
      <c r="Y149" s="78">
        <v>45085</v>
      </c>
      <c r="Z149" t="s">
        <v>723</v>
      </c>
    </row>
    <row r="150" spans="2:26">
      <c r="B150" s="78">
        <v>45085</v>
      </c>
      <c r="C150" t="s">
        <v>726</v>
      </c>
      <c r="D150" s="88">
        <v>6647.08</v>
      </c>
      <c r="E150" s="88"/>
      <c r="G150" s="78">
        <v>45085</v>
      </c>
      <c r="H150" t="s">
        <v>723</v>
      </c>
      <c r="T150" s="78">
        <v>45085</v>
      </c>
      <c r="U150" t="s">
        <v>723</v>
      </c>
      <c r="V150" s="88">
        <v>7011.71</v>
      </c>
      <c r="W150" s="88"/>
      <c r="Y150" s="78">
        <v>45085</v>
      </c>
      <c r="Z150" t="s">
        <v>726</v>
      </c>
    </row>
    <row r="151" spans="2:26">
      <c r="B151" s="78">
        <v>45086</v>
      </c>
      <c r="C151" t="s">
        <v>724</v>
      </c>
      <c r="D151" s="88">
        <v>3831.24</v>
      </c>
      <c r="E151" s="88"/>
      <c r="G151" s="78">
        <v>45086</v>
      </c>
      <c r="H151" t="s">
        <v>724</v>
      </c>
      <c r="T151" s="78">
        <v>45085</v>
      </c>
      <c r="U151" t="s">
        <v>726</v>
      </c>
      <c r="V151" s="88">
        <v>6647.08</v>
      </c>
      <c r="W151" s="88"/>
      <c r="Y151" s="78">
        <v>45085</v>
      </c>
      <c r="Z151" t="s">
        <v>723</v>
      </c>
    </row>
    <row r="152" spans="2:26">
      <c r="B152" s="78">
        <v>45086</v>
      </c>
      <c r="C152" t="s">
        <v>723</v>
      </c>
      <c r="D152" s="88">
        <v>4555.79</v>
      </c>
      <c r="E152" s="88"/>
      <c r="G152" s="78">
        <v>45086</v>
      </c>
      <c r="H152" t="s">
        <v>723</v>
      </c>
      <c r="T152" s="78">
        <v>45086</v>
      </c>
      <c r="U152" t="s">
        <v>724</v>
      </c>
      <c r="V152" s="88">
        <v>3831.24</v>
      </c>
      <c r="W152" s="88"/>
      <c r="Y152" s="78">
        <v>45086</v>
      </c>
      <c r="Z152" t="s">
        <v>724</v>
      </c>
    </row>
    <row r="153" spans="2:26">
      <c r="B153" s="78">
        <v>45086</v>
      </c>
      <c r="C153" t="s">
        <v>723</v>
      </c>
      <c r="D153" s="88">
        <v>4665.33</v>
      </c>
      <c r="E153" s="88"/>
      <c r="G153" s="78">
        <v>45086</v>
      </c>
      <c r="H153" t="s">
        <v>723</v>
      </c>
      <c r="T153" s="78">
        <v>45086</v>
      </c>
      <c r="U153" t="s">
        <v>723</v>
      </c>
      <c r="V153" s="88">
        <v>4555.79</v>
      </c>
      <c r="W153" s="88"/>
      <c r="Y153" s="78">
        <v>45086</v>
      </c>
      <c r="Z153" t="s">
        <v>723</v>
      </c>
    </row>
    <row r="154" spans="2:26">
      <c r="B154" s="78">
        <v>45087</v>
      </c>
      <c r="C154" t="s">
        <v>724</v>
      </c>
      <c r="D154" s="88">
        <v>5006.4799999999996</v>
      </c>
      <c r="E154" s="88"/>
      <c r="G154" s="78">
        <v>45087</v>
      </c>
      <c r="H154" t="s">
        <v>724</v>
      </c>
      <c r="T154" s="78">
        <v>45086</v>
      </c>
      <c r="U154" t="s">
        <v>723</v>
      </c>
      <c r="V154" s="88">
        <v>4665.33</v>
      </c>
      <c r="W154" s="88"/>
      <c r="Y154" s="78">
        <v>45086</v>
      </c>
      <c r="Z154" t="s">
        <v>723</v>
      </c>
    </row>
    <row r="155" spans="2:26">
      <c r="B155" s="78">
        <v>45089</v>
      </c>
      <c r="C155" t="s">
        <v>726</v>
      </c>
      <c r="D155" s="88">
        <v>6082.79</v>
      </c>
      <c r="E155" s="88"/>
      <c r="G155" s="78">
        <v>45089</v>
      </c>
      <c r="H155" t="s">
        <v>724</v>
      </c>
      <c r="T155" s="78">
        <v>45087</v>
      </c>
      <c r="U155" t="s">
        <v>724</v>
      </c>
      <c r="V155" s="88">
        <v>5006.4799999999996</v>
      </c>
      <c r="W155" s="88"/>
      <c r="Y155" s="78">
        <v>45087</v>
      </c>
      <c r="Z155" t="s">
        <v>724</v>
      </c>
    </row>
    <row r="156" spans="2:26">
      <c r="B156" s="78">
        <v>45089</v>
      </c>
      <c r="C156" t="s">
        <v>724</v>
      </c>
      <c r="D156" s="88">
        <v>6344.04</v>
      </c>
      <c r="E156" s="88"/>
      <c r="G156" s="78">
        <v>45089</v>
      </c>
      <c r="H156" t="s">
        <v>726</v>
      </c>
      <c r="T156" s="78">
        <v>45089</v>
      </c>
      <c r="U156" t="s">
        <v>726</v>
      </c>
      <c r="V156" s="88">
        <v>6082.79</v>
      </c>
      <c r="W156" s="88"/>
      <c r="Y156" s="78">
        <v>45089</v>
      </c>
      <c r="Z156" t="s">
        <v>724</v>
      </c>
    </row>
    <row r="157" spans="2:26">
      <c r="B157" s="78">
        <v>45091</v>
      </c>
      <c r="C157" t="s">
        <v>723</v>
      </c>
      <c r="D157" s="88">
        <v>4217.26</v>
      </c>
      <c r="E157" s="88"/>
      <c r="G157" s="78">
        <v>45091</v>
      </c>
      <c r="H157" t="s">
        <v>723</v>
      </c>
      <c r="T157" s="78">
        <v>45089</v>
      </c>
      <c r="U157" t="s">
        <v>724</v>
      </c>
      <c r="V157" s="88">
        <v>6344.04</v>
      </c>
      <c r="W157" s="88"/>
      <c r="Y157" s="78">
        <v>45089</v>
      </c>
      <c r="Z157" t="s">
        <v>726</v>
      </c>
    </row>
    <row r="158" spans="2:26">
      <c r="B158" s="78">
        <v>45093</v>
      </c>
      <c r="C158" t="s">
        <v>726</v>
      </c>
      <c r="D158" s="88">
        <v>4197.76</v>
      </c>
      <c r="E158" s="88"/>
      <c r="G158" s="78">
        <v>45093</v>
      </c>
      <c r="H158" t="s">
        <v>728</v>
      </c>
      <c r="T158" s="78">
        <v>45091</v>
      </c>
      <c r="U158" t="s">
        <v>723</v>
      </c>
      <c r="V158" s="88">
        <v>4217.26</v>
      </c>
      <c r="W158" s="88"/>
      <c r="Y158" s="78">
        <v>45091</v>
      </c>
      <c r="Z158" t="s">
        <v>723</v>
      </c>
    </row>
    <row r="159" spans="2:26">
      <c r="B159" s="78">
        <v>45093</v>
      </c>
      <c r="C159" t="s">
        <v>728</v>
      </c>
      <c r="D159" s="88">
        <v>7645.36</v>
      </c>
      <c r="E159" s="88"/>
      <c r="G159" s="78">
        <v>45093</v>
      </c>
      <c r="H159" t="s">
        <v>723</v>
      </c>
      <c r="T159" s="78">
        <v>45093</v>
      </c>
      <c r="U159" t="s">
        <v>726</v>
      </c>
      <c r="V159" s="88">
        <v>4197.76</v>
      </c>
      <c r="W159" s="88"/>
      <c r="Y159" s="78">
        <v>45093</v>
      </c>
      <c r="Z159" t="s">
        <v>728</v>
      </c>
    </row>
    <row r="160" spans="2:26">
      <c r="B160" s="78">
        <v>45093</v>
      </c>
      <c r="C160" t="s">
        <v>723</v>
      </c>
      <c r="D160" s="88">
        <v>7361.51</v>
      </c>
      <c r="E160" s="88"/>
      <c r="G160" s="78">
        <v>45093</v>
      </c>
      <c r="H160" t="s">
        <v>726</v>
      </c>
      <c r="T160" s="78">
        <v>45093</v>
      </c>
      <c r="U160" t="s">
        <v>728</v>
      </c>
      <c r="V160" s="88">
        <v>7645.36</v>
      </c>
      <c r="W160" s="88"/>
      <c r="Y160" s="78">
        <v>45093</v>
      </c>
      <c r="Z160" t="s">
        <v>723</v>
      </c>
    </row>
    <row r="161" spans="2:26">
      <c r="B161" s="78">
        <v>45094</v>
      </c>
      <c r="C161" t="s">
        <v>724</v>
      </c>
      <c r="D161" s="88">
        <v>7737.13</v>
      </c>
      <c r="E161" s="88"/>
      <c r="G161" s="78">
        <v>45094</v>
      </c>
      <c r="H161" t="s">
        <v>724</v>
      </c>
      <c r="T161" s="78">
        <v>45093</v>
      </c>
      <c r="U161" t="s">
        <v>723</v>
      </c>
      <c r="V161" s="88">
        <v>7361.51</v>
      </c>
      <c r="W161" s="88"/>
      <c r="Y161" s="78">
        <v>45093</v>
      </c>
      <c r="Z161" t="s">
        <v>726</v>
      </c>
    </row>
    <row r="162" spans="2:26">
      <c r="B162" s="78">
        <v>45095</v>
      </c>
      <c r="C162" t="s">
        <v>724</v>
      </c>
      <c r="D162" s="88">
        <v>6948.28</v>
      </c>
      <c r="E162" s="88"/>
      <c r="G162" s="78">
        <v>45095</v>
      </c>
      <c r="H162" t="s">
        <v>724</v>
      </c>
      <c r="T162" s="78">
        <v>45094</v>
      </c>
      <c r="U162" t="s">
        <v>724</v>
      </c>
      <c r="V162" s="88">
        <v>7737.13</v>
      </c>
      <c r="W162" s="88"/>
      <c r="Y162" s="78">
        <v>45094</v>
      </c>
      <c r="Z162" t="s">
        <v>724</v>
      </c>
    </row>
    <row r="163" spans="2:26">
      <c r="B163" s="78">
        <v>45097</v>
      </c>
      <c r="C163" t="s">
        <v>728</v>
      </c>
      <c r="D163" s="88">
        <v>5308</v>
      </c>
      <c r="E163" s="88"/>
      <c r="G163" s="78">
        <v>45097</v>
      </c>
      <c r="H163" t="s">
        <v>723</v>
      </c>
      <c r="T163" s="78">
        <v>45095</v>
      </c>
      <c r="U163" t="s">
        <v>724</v>
      </c>
      <c r="V163" s="88">
        <v>6948.28</v>
      </c>
      <c r="W163" s="88"/>
      <c r="Y163" s="78">
        <v>45095</v>
      </c>
      <c r="Z163" t="s">
        <v>724</v>
      </c>
    </row>
    <row r="164" spans="2:26">
      <c r="B164" s="78">
        <v>45097</v>
      </c>
      <c r="C164" t="s">
        <v>728</v>
      </c>
      <c r="D164" s="88">
        <v>5534.7</v>
      </c>
      <c r="E164" s="88"/>
      <c r="G164" s="78">
        <v>45097</v>
      </c>
      <c r="H164" t="s">
        <v>728</v>
      </c>
      <c r="T164" s="78">
        <v>45097</v>
      </c>
      <c r="U164" t="s">
        <v>728</v>
      </c>
      <c r="V164" s="88">
        <v>5308</v>
      </c>
      <c r="W164" s="88"/>
      <c r="Y164" s="78">
        <v>45097</v>
      </c>
      <c r="Z164" t="s">
        <v>723</v>
      </c>
    </row>
    <row r="165" spans="2:26">
      <c r="B165" s="78">
        <v>45097</v>
      </c>
      <c r="C165" t="s">
        <v>723</v>
      </c>
      <c r="D165" s="88">
        <v>5735.86</v>
      </c>
      <c r="E165" s="88"/>
      <c r="G165" s="78">
        <v>45097</v>
      </c>
      <c r="H165" t="s">
        <v>728</v>
      </c>
      <c r="T165" s="78">
        <v>45097</v>
      </c>
      <c r="U165" t="s">
        <v>728</v>
      </c>
      <c r="V165" s="88">
        <v>5534.7</v>
      </c>
      <c r="W165" s="88"/>
      <c r="Y165" s="78">
        <v>45097</v>
      </c>
      <c r="Z165" t="s">
        <v>728</v>
      </c>
    </row>
    <row r="166" spans="2:26">
      <c r="B166" s="78">
        <v>45100</v>
      </c>
      <c r="C166" t="s">
        <v>726</v>
      </c>
      <c r="D166" s="88">
        <v>6854.52</v>
      </c>
      <c r="E166" s="88"/>
      <c r="G166" s="78">
        <v>45100</v>
      </c>
      <c r="H166" t="s">
        <v>726</v>
      </c>
      <c r="T166" s="78">
        <v>45097</v>
      </c>
      <c r="U166" t="s">
        <v>723</v>
      </c>
      <c r="V166" s="88">
        <v>5735.86</v>
      </c>
      <c r="W166" s="88"/>
      <c r="Y166" s="78">
        <v>45097</v>
      </c>
      <c r="Z166" t="s">
        <v>728</v>
      </c>
    </row>
    <row r="167" spans="2:26">
      <c r="B167" s="78">
        <v>45100</v>
      </c>
      <c r="C167" t="s">
        <v>726</v>
      </c>
      <c r="D167" s="88">
        <v>5276.25</v>
      </c>
      <c r="E167" s="88"/>
      <c r="G167" s="78">
        <v>45100</v>
      </c>
      <c r="H167" t="s">
        <v>726</v>
      </c>
      <c r="T167" s="78">
        <v>45100</v>
      </c>
      <c r="U167" t="s">
        <v>726</v>
      </c>
      <c r="V167" s="88">
        <v>6854.52</v>
      </c>
      <c r="W167" s="88"/>
      <c r="Y167" s="78">
        <v>45100</v>
      </c>
      <c r="Z167" t="s">
        <v>726</v>
      </c>
    </row>
    <row r="168" spans="2:26">
      <c r="B168" s="78">
        <v>45102</v>
      </c>
      <c r="C168" t="s">
        <v>723</v>
      </c>
      <c r="D168" s="88">
        <v>3835.19</v>
      </c>
      <c r="E168" s="88"/>
      <c r="G168" s="78">
        <v>45102</v>
      </c>
      <c r="H168" t="s">
        <v>724</v>
      </c>
      <c r="T168" s="78">
        <v>45100</v>
      </c>
      <c r="U168" t="s">
        <v>726</v>
      </c>
      <c r="V168" s="88">
        <v>5276.25</v>
      </c>
      <c r="W168" s="88"/>
      <c r="Y168" s="78">
        <v>45100</v>
      </c>
      <c r="Z168" t="s">
        <v>726</v>
      </c>
    </row>
    <row r="169" spans="2:26">
      <c r="B169" s="78">
        <v>45102</v>
      </c>
      <c r="C169" t="s">
        <v>724</v>
      </c>
      <c r="D169" s="88">
        <v>4064.22</v>
      </c>
      <c r="E169" s="88"/>
      <c r="G169" s="78">
        <v>45102</v>
      </c>
      <c r="H169" t="s">
        <v>723</v>
      </c>
      <c r="T169" s="78">
        <v>45102</v>
      </c>
      <c r="U169" t="s">
        <v>723</v>
      </c>
      <c r="V169" s="88">
        <v>3835.19</v>
      </c>
      <c r="W169" s="88"/>
      <c r="Y169" s="78">
        <v>45102</v>
      </c>
      <c r="Z169" t="s">
        <v>724</v>
      </c>
    </row>
    <row r="170" spans="2:26">
      <c r="B170" s="78">
        <v>45103</v>
      </c>
      <c r="C170" t="s">
        <v>728</v>
      </c>
      <c r="D170" s="88">
        <v>4163.58</v>
      </c>
      <c r="E170" s="88"/>
      <c r="G170" s="78">
        <v>45103</v>
      </c>
      <c r="H170" t="s">
        <v>728</v>
      </c>
      <c r="T170" s="78">
        <v>45102</v>
      </c>
      <c r="U170" t="s">
        <v>724</v>
      </c>
      <c r="V170" s="88">
        <v>4064.22</v>
      </c>
      <c r="W170" s="88"/>
      <c r="Y170" s="78">
        <v>45102</v>
      </c>
      <c r="Z170" t="s">
        <v>723</v>
      </c>
    </row>
    <row r="171" spans="2:26">
      <c r="T171" s="78">
        <v>45103</v>
      </c>
      <c r="U171" t="s">
        <v>728</v>
      </c>
      <c r="V171" s="88">
        <v>4163.58</v>
      </c>
      <c r="W171" s="88"/>
      <c r="Y171" s="78">
        <v>45103</v>
      </c>
      <c r="Z171" t="s">
        <v>728</v>
      </c>
    </row>
  </sheetData>
  <autoFilter ref="B6:D170" xr:uid="{1461CE9D-C2AC-464A-9C60-1B4299B05383}"/>
  <conditionalFormatting pivot="1" sqref="H7:H12 H14:H19 H21:H26 H28:H33">
    <cfRule type="top10" dxfId="5" priority="2" rank="3"/>
  </conditionalFormatting>
  <conditionalFormatting pivot="1" sqref="Z8:Z13 Z15:Z20 Z22:Z27 Z29:Z34">
    <cfRule type="top10" dxfId="4" priority="1" rank="3"/>
  </conditionalFormatting>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ED344-6747-45EE-96A3-A3518A8A6D89}">
  <sheetPr>
    <tabColor rgb="FFFFFF00"/>
  </sheetPr>
  <dimension ref="B1:I168"/>
  <sheetViews>
    <sheetView zoomScale="112" zoomScaleNormal="112" workbookViewId="0">
      <selection activeCell="K6" sqref="K6"/>
    </sheetView>
  </sheetViews>
  <sheetFormatPr defaultRowHeight="14.5"/>
  <cols>
    <col min="1" max="1" width="2.453125" customWidth="1"/>
    <col min="2" max="2" width="11.1796875" customWidth="1"/>
    <col min="3" max="3" width="12.26953125" customWidth="1"/>
    <col min="4" max="4" width="11" customWidth="1"/>
    <col min="5" max="5" width="3.26953125" customWidth="1"/>
    <col min="6" max="6" width="27.26953125" bestFit="1" customWidth="1"/>
    <col min="7" max="7" width="19.26953125" customWidth="1"/>
    <col min="8" max="8" width="4.81640625" customWidth="1"/>
    <col min="9" max="9" width="14" customWidth="1"/>
    <col min="10" max="10" width="2.453125" customWidth="1"/>
    <col min="11" max="11" width="12.453125" customWidth="1"/>
    <col min="12" max="12" width="17.7265625" customWidth="1"/>
  </cols>
  <sheetData>
    <row r="1" spans="2:9" ht="8.25" customHeight="1"/>
    <row r="2" spans="2:9" ht="21">
      <c r="B2" s="57" t="s">
        <v>718</v>
      </c>
      <c r="F2" s="57" t="s">
        <v>719</v>
      </c>
    </row>
    <row r="4" spans="2:9" ht="15.5">
      <c r="B4" s="59" t="s">
        <v>705</v>
      </c>
      <c r="C4" s="59" t="s">
        <v>720</v>
      </c>
      <c r="D4" s="59" t="s">
        <v>721</v>
      </c>
      <c r="E4" s="59"/>
      <c r="F4" s="69" t="s">
        <v>722</v>
      </c>
      <c r="G4" s="87">
        <f>AVERAGE(fSales01[Sales ($)])</f>
        <v>3660.1644512195126</v>
      </c>
    </row>
    <row r="5" spans="2:9">
      <c r="B5" s="78">
        <v>45056</v>
      </c>
      <c r="C5" t="s">
        <v>723</v>
      </c>
      <c r="D5" s="88">
        <v>1605.18</v>
      </c>
      <c r="E5" s="88"/>
      <c r="F5" s="88"/>
    </row>
    <row r="6" spans="2:9" ht="21">
      <c r="B6" s="78">
        <v>45045</v>
      </c>
      <c r="C6" t="s">
        <v>724</v>
      </c>
      <c r="D6" s="88">
        <v>3676.99</v>
      </c>
      <c r="E6" s="88"/>
      <c r="F6" s="57" t="s">
        <v>725</v>
      </c>
    </row>
    <row r="7" spans="2:9">
      <c r="B7" s="78">
        <v>45014</v>
      </c>
      <c r="C7" t="s">
        <v>726</v>
      </c>
      <c r="D7" s="88">
        <v>4272.3999999999996</v>
      </c>
      <c r="E7" s="88"/>
      <c r="F7" t="s">
        <v>727</v>
      </c>
    </row>
    <row r="8" spans="2:9">
      <c r="B8" s="78">
        <v>45097</v>
      </c>
      <c r="C8" t="s">
        <v>728</v>
      </c>
      <c r="D8" s="88">
        <v>5308</v>
      </c>
      <c r="E8" s="88"/>
    </row>
    <row r="9" spans="2:9">
      <c r="B9" s="78">
        <v>45049</v>
      </c>
      <c r="C9" t="s">
        <v>723</v>
      </c>
      <c r="D9" s="88">
        <v>6745.45</v>
      </c>
      <c r="E9" s="88"/>
      <c r="F9" s="89" t="s">
        <v>729</v>
      </c>
      <c r="I9" s="89" t="s">
        <v>730</v>
      </c>
    </row>
    <row r="10" spans="2:9">
      <c r="B10" s="78">
        <v>45024</v>
      </c>
      <c r="C10" t="s">
        <v>723</v>
      </c>
      <c r="D10" s="88">
        <v>4532.2299999999996</v>
      </c>
      <c r="E10" s="88"/>
      <c r="F10" s="88"/>
    </row>
    <row r="11" spans="2:9">
      <c r="B11" s="78">
        <v>44940</v>
      </c>
      <c r="C11" t="s">
        <v>724</v>
      </c>
      <c r="D11" s="88">
        <v>3151.76</v>
      </c>
      <c r="E11" s="88"/>
      <c r="F11" t="s">
        <v>731</v>
      </c>
      <c r="G11" t="s">
        <v>732</v>
      </c>
    </row>
    <row r="12" spans="2:9">
      <c r="B12" s="78">
        <v>44947</v>
      </c>
      <c r="C12" t="s">
        <v>723</v>
      </c>
      <c r="D12" s="88">
        <v>1608.7</v>
      </c>
      <c r="E12" s="88"/>
      <c r="F12" t="s">
        <v>733</v>
      </c>
      <c r="G12" s="88">
        <v>62629.600000000006</v>
      </c>
    </row>
    <row r="13" spans="2:9">
      <c r="B13" s="78">
        <v>44939</v>
      </c>
      <c r="C13" t="s">
        <v>726</v>
      </c>
      <c r="D13" s="88">
        <v>679.07</v>
      </c>
      <c r="E13" s="88"/>
      <c r="F13" t="s">
        <v>734</v>
      </c>
      <c r="G13" s="88">
        <v>68068.690000000017</v>
      </c>
    </row>
    <row r="14" spans="2:9">
      <c r="B14" s="78">
        <v>44932</v>
      </c>
      <c r="C14" t="s">
        <v>726</v>
      </c>
      <c r="D14" s="88">
        <v>4828.54</v>
      </c>
      <c r="E14" s="88"/>
      <c r="F14" t="s">
        <v>735</v>
      </c>
      <c r="G14" s="88">
        <v>58846.960000000006</v>
      </c>
    </row>
    <row r="15" spans="2:9">
      <c r="B15" s="78">
        <v>45031</v>
      </c>
      <c r="C15" t="s">
        <v>723</v>
      </c>
      <c r="D15" s="88">
        <v>2980.75</v>
      </c>
      <c r="E15" s="88"/>
      <c r="F15" t="s">
        <v>736</v>
      </c>
      <c r="G15" s="88">
        <v>189545.25000000003</v>
      </c>
    </row>
    <row r="16" spans="2:9">
      <c r="B16" s="78">
        <v>45082</v>
      </c>
      <c r="C16" t="s">
        <v>724</v>
      </c>
      <c r="D16" s="88">
        <v>6269.22</v>
      </c>
      <c r="E16" s="88"/>
    </row>
    <row r="17" spans="2:9">
      <c r="B17" s="78">
        <v>45095</v>
      </c>
      <c r="C17" t="s">
        <v>724</v>
      </c>
      <c r="D17" s="88">
        <v>6948.28</v>
      </c>
      <c r="E17" s="88"/>
    </row>
    <row r="18" spans="2:9">
      <c r="B18" s="78">
        <v>45078</v>
      </c>
      <c r="C18" t="s">
        <v>724</v>
      </c>
      <c r="D18" s="88">
        <v>7224.19</v>
      </c>
      <c r="E18" s="88"/>
    </row>
    <row r="19" spans="2:9">
      <c r="B19" s="78">
        <v>45046</v>
      </c>
      <c r="C19" t="s">
        <v>723</v>
      </c>
      <c r="D19" s="88">
        <v>1856.15</v>
      </c>
      <c r="E19" s="88"/>
    </row>
    <row r="20" spans="2:9">
      <c r="B20" s="78">
        <v>45027</v>
      </c>
      <c r="C20" t="s">
        <v>726</v>
      </c>
      <c r="D20" s="88">
        <v>3939.16</v>
      </c>
      <c r="E20" s="88"/>
    </row>
    <row r="21" spans="2:9">
      <c r="B21" s="78">
        <v>45102</v>
      </c>
      <c r="C21" t="s">
        <v>723</v>
      </c>
      <c r="D21" s="88">
        <v>3835.19</v>
      </c>
      <c r="E21" s="88"/>
      <c r="F21" s="90" t="s">
        <v>737</v>
      </c>
    </row>
    <row r="22" spans="2:9">
      <c r="B22" s="78">
        <v>44994</v>
      </c>
      <c r="C22" t="s">
        <v>728</v>
      </c>
      <c r="D22" s="88">
        <v>2200.5300000000002</v>
      </c>
      <c r="E22" s="88"/>
    </row>
    <row r="23" spans="2:9">
      <c r="B23" s="78">
        <v>45089</v>
      </c>
      <c r="C23" t="s">
        <v>726</v>
      </c>
      <c r="D23" s="88">
        <v>6082.79</v>
      </c>
      <c r="E23" s="88"/>
      <c r="I23" s="59" t="s">
        <v>738</v>
      </c>
    </row>
    <row r="24" spans="2:9">
      <c r="B24" s="78">
        <v>44964</v>
      </c>
      <c r="C24" t="s">
        <v>726</v>
      </c>
      <c r="D24" s="88">
        <v>67.38</v>
      </c>
      <c r="E24" s="88"/>
    </row>
    <row r="25" spans="2:9">
      <c r="B25" s="78">
        <v>45045</v>
      </c>
      <c r="C25" t="s">
        <v>724</v>
      </c>
      <c r="D25" s="88">
        <v>6476.19</v>
      </c>
      <c r="E25" s="88"/>
    </row>
    <row r="26" spans="2:9">
      <c r="B26" s="78">
        <v>45012</v>
      </c>
      <c r="C26" t="s">
        <v>724</v>
      </c>
      <c r="D26" s="88">
        <v>2859.62</v>
      </c>
      <c r="E26" s="88"/>
    </row>
    <row r="27" spans="2:9">
      <c r="B27" s="78">
        <v>45069</v>
      </c>
      <c r="C27" t="s">
        <v>728</v>
      </c>
      <c r="D27" s="88">
        <v>6304.83</v>
      </c>
      <c r="E27" s="88"/>
    </row>
    <row r="28" spans="2:9">
      <c r="B28" s="78">
        <v>45049</v>
      </c>
      <c r="C28" t="s">
        <v>724</v>
      </c>
      <c r="D28" s="88">
        <v>3620.88</v>
      </c>
      <c r="E28" s="88"/>
    </row>
    <row r="29" spans="2:9">
      <c r="B29" s="78">
        <v>45089</v>
      </c>
      <c r="C29" t="s">
        <v>724</v>
      </c>
      <c r="D29" s="88">
        <v>6344.04</v>
      </c>
      <c r="E29" s="88"/>
    </row>
    <row r="30" spans="2:9">
      <c r="B30" s="78">
        <v>44960</v>
      </c>
      <c r="C30" t="s">
        <v>723</v>
      </c>
      <c r="D30" s="88">
        <v>1797.46</v>
      </c>
      <c r="E30" s="88"/>
    </row>
    <row r="31" spans="2:9">
      <c r="B31" s="78">
        <v>44951</v>
      </c>
      <c r="C31" t="s">
        <v>724</v>
      </c>
      <c r="D31" s="88">
        <v>2384.9699999999998</v>
      </c>
      <c r="E31" s="88"/>
    </row>
    <row r="32" spans="2:9">
      <c r="B32" s="78">
        <v>45025</v>
      </c>
      <c r="C32" t="s">
        <v>726</v>
      </c>
      <c r="D32" s="88">
        <v>2321.62</v>
      </c>
      <c r="E32" s="88"/>
    </row>
    <row r="33" spans="2:6">
      <c r="B33" s="78">
        <v>44987</v>
      </c>
      <c r="C33" t="s">
        <v>726</v>
      </c>
      <c r="D33" s="88">
        <v>1777.52</v>
      </c>
      <c r="E33" s="88"/>
    </row>
    <row r="34" spans="2:6">
      <c r="B34" s="78">
        <v>45055</v>
      </c>
      <c r="C34" t="s">
        <v>728</v>
      </c>
      <c r="D34" s="88">
        <v>3161.1</v>
      </c>
      <c r="E34" s="88"/>
    </row>
    <row r="35" spans="2:6">
      <c r="B35" s="78">
        <v>45019</v>
      </c>
      <c r="C35" t="s">
        <v>728</v>
      </c>
      <c r="D35" s="88">
        <v>1616.68</v>
      </c>
      <c r="E35" s="88"/>
    </row>
    <row r="36" spans="2:6">
      <c r="B36" s="78">
        <v>45064</v>
      </c>
      <c r="C36" t="s">
        <v>724</v>
      </c>
      <c r="D36" s="88">
        <v>4893.76</v>
      </c>
      <c r="E36" s="88"/>
    </row>
    <row r="37" spans="2:6">
      <c r="B37" s="78">
        <v>45068</v>
      </c>
      <c r="C37" t="s">
        <v>724</v>
      </c>
      <c r="D37" s="88">
        <v>4069.41</v>
      </c>
      <c r="E37" s="88"/>
    </row>
    <row r="38" spans="2:6">
      <c r="B38" s="78">
        <v>45020</v>
      </c>
      <c r="C38" t="s">
        <v>726</v>
      </c>
      <c r="D38" s="88">
        <v>2320.8000000000002</v>
      </c>
      <c r="E38" s="88"/>
    </row>
    <row r="39" spans="2:6">
      <c r="B39" s="78">
        <v>45097</v>
      </c>
      <c r="C39" t="s">
        <v>728</v>
      </c>
      <c r="D39" s="88">
        <v>5534.7</v>
      </c>
      <c r="E39" s="88"/>
    </row>
    <row r="40" spans="2:6">
      <c r="B40" s="78">
        <v>45073</v>
      </c>
      <c r="C40" t="s">
        <v>726</v>
      </c>
      <c r="D40" s="88">
        <v>3183.81</v>
      </c>
      <c r="E40" s="88"/>
      <c r="F40" s="88"/>
    </row>
    <row r="41" spans="2:6">
      <c r="B41" s="78">
        <v>44948</v>
      </c>
      <c r="C41" t="s">
        <v>724</v>
      </c>
      <c r="D41" s="88">
        <v>98.57</v>
      </c>
      <c r="E41" s="88"/>
      <c r="F41" s="88"/>
    </row>
    <row r="42" spans="2:6">
      <c r="B42" s="78">
        <v>45041</v>
      </c>
      <c r="C42" t="s">
        <v>728</v>
      </c>
      <c r="D42" s="88">
        <v>3066.47</v>
      </c>
      <c r="E42" s="88"/>
      <c r="F42" s="88"/>
    </row>
    <row r="43" spans="2:6">
      <c r="B43" s="78">
        <v>45085</v>
      </c>
      <c r="C43" t="s">
        <v>723</v>
      </c>
      <c r="D43" s="88">
        <v>5209.62</v>
      </c>
      <c r="E43" s="88"/>
      <c r="F43" s="88"/>
    </row>
    <row r="44" spans="2:6">
      <c r="B44" s="78">
        <v>44997</v>
      </c>
      <c r="C44" t="s">
        <v>723</v>
      </c>
      <c r="D44" s="88">
        <v>4410.6099999999997</v>
      </c>
      <c r="E44" s="88"/>
      <c r="F44" s="88"/>
    </row>
    <row r="45" spans="2:6">
      <c r="B45" s="78">
        <v>44951</v>
      </c>
      <c r="C45" t="s">
        <v>726</v>
      </c>
      <c r="D45" s="88">
        <v>4326.08</v>
      </c>
      <c r="E45" s="88"/>
      <c r="F45" s="88"/>
    </row>
    <row r="46" spans="2:6">
      <c r="B46" s="78">
        <v>44972</v>
      </c>
      <c r="C46" t="s">
        <v>726</v>
      </c>
      <c r="D46" s="88">
        <v>4297.68</v>
      </c>
      <c r="E46" s="88"/>
      <c r="F46" s="88"/>
    </row>
    <row r="47" spans="2:6">
      <c r="B47" s="78">
        <v>45032</v>
      </c>
      <c r="C47" t="s">
        <v>728</v>
      </c>
      <c r="D47" s="88">
        <v>3062.21</v>
      </c>
      <c r="E47" s="88"/>
      <c r="F47" s="88"/>
    </row>
    <row r="48" spans="2:6">
      <c r="B48" s="78">
        <v>44997</v>
      </c>
      <c r="C48" t="s">
        <v>728</v>
      </c>
      <c r="D48" s="88">
        <v>4752.4799999999996</v>
      </c>
      <c r="E48" s="88"/>
      <c r="F48" s="88"/>
    </row>
    <row r="49" spans="2:6">
      <c r="B49" s="78">
        <v>45023</v>
      </c>
      <c r="C49" t="s">
        <v>724</v>
      </c>
      <c r="D49" s="88">
        <v>3544.53</v>
      </c>
      <c r="E49" s="88"/>
      <c r="F49" s="88"/>
    </row>
    <row r="50" spans="2:6">
      <c r="B50" s="78">
        <v>44931</v>
      </c>
      <c r="C50" t="s">
        <v>726</v>
      </c>
      <c r="D50" s="88">
        <v>1645.01</v>
      </c>
      <c r="E50" s="88"/>
      <c r="F50" s="88"/>
    </row>
    <row r="51" spans="2:6">
      <c r="B51" s="78">
        <v>44948</v>
      </c>
      <c r="C51" t="s">
        <v>728</v>
      </c>
      <c r="D51" s="88">
        <v>1616.32</v>
      </c>
      <c r="E51" s="88"/>
      <c r="F51" s="88"/>
    </row>
    <row r="52" spans="2:6">
      <c r="B52" s="78">
        <v>44990</v>
      </c>
      <c r="C52" t="s">
        <v>724</v>
      </c>
      <c r="D52" s="88">
        <v>4294.17</v>
      </c>
      <c r="E52" s="88"/>
      <c r="F52" s="88"/>
    </row>
    <row r="53" spans="2:6">
      <c r="B53" s="78">
        <v>44962</v>
      </c>
      <c r="C53" t="s">
        <v>728</v>
      </c>
      <c r="D53" s="88">
        <v>1775.61</v>
      </c>
      <c r="E53" s="88"/>
      <c r="F53" s="88"/>
    </row>
    <row r="54" spans="2:6">
      <c r="B54" s="78">
        <v>44959</v>
      </c>
      <c r="C54" t="s">
        <v>726</v>
      </c>
      <c r="D54" s="88">
        <v>1970.14</v>
      </c>
      <c r="E54" s="88"/>
      <c r="F54" s="88"/>
    </row>
    <row r="55" spans="2:6">
      <c r="B55" s="78">
        <v>44979</v>
      </c>
      <c r="C55" t="s">
        <v>728</v>
      </c>
      <c r="D55" s="88">
        <v>554.48</v>
      </c>
      <c r="E55" s="88"/>
      <c r="F55" s="88"/>
    </row>
    <row r="56" spans="2:6">
      <c r="B56" s="78">
        <v>45000</v>
      </c>
      <c r="C56" t="s">
        <v>726</v>
      </c>
      <c r="D56" s="88">
        <v>2026.19</v>
      </c>
      <c r="E56" s="88"/>
      <c r="F56" s="88"/>
    </row>
    <row r="57" spans="2:6">
      <c r="B57" s="78">
        <v>45086</v>
      </c>
      <c r="C57" t="s">
        <v>724</v>
      </c>
      <c r="D57" s="88">
        <v>3831.24</v>
      </c>
      <c r="E57" s="88"/>
      <c r="F57" s="88"/>
    </row>
    <row r="58" spans="2:6">
      <c r="B58" s="78">
        <v>45034</v>
      </c>
      <c r="C58" t="s">
        <v>723</v>
      </c>
      <c r="D58" s="88">
        <v>2906.82</v>
      </c>
      <c r="E58" s="88"/>
      <c r="F58" s="88"/>
    </row>
    <row r="59" spans="2:6">
      <c r="B59" s="78">
        <v>45074</v>
      </c>
      <c r="C59" t="s">
        <v>726</v>
      </c>
      <c r="D59" s="88">
        <v>4127.82</v>
      </c>
      <c r="E59" s="88"/>
      <c r="F59" s="88"/>
    </row>
    <row r="60" spans="2:6">
      <c r="B60" s="78">
        <v>44951</v>
      </c>
      <c r="C60" t="s">
        <v>726</v>
      </c>
      <c r="D60" s="88">
        <v>554.62</v>
      </c>
      <c r="E60" s="88"/>
      <c r="F60" s="88"/>
    </row>
    <row r="61" spans="2:6">
      <c r="B61" s="78">
        <v>44952</v>
      </c>
      <c r="C61" t="s">
        <v>724</v>
      </c>
      <c r="D61" s="88">
        <v>1904.62</v>
      </c>
      <c r="E61" s="88"/>
      <c r="F61" s="88"/>
    </row>
    <row r="62" spans="2:6">
      <c r="B62" s="78">
        <v>45084</v>
      </c>
      <c r="C62" t="s">
        <v>726</v>
      </c>
      <c r="D62" s="88">
        <v>5528.17</v>
      </c>
      <c r="E62" s="88"/>
      <c r="F62" s="88"/>
    </row>
    <row r="63" spans="2:6">
      <c r="B63" s="78">
        <v>45079</v>
      </c>
      <c r="C63" t="s">
        <v>728</v>
      </c>
      <c r="D63" s="88">
        <v>4695.04</v>
      </c>
      <c r="E63" s="88"/>
      <c r="F63" s="88"/>
    </row>
    <row r="64" spans="2:6">
      <c r="B64" s="78">
        <v>44941</v>
      </c>
      <c r="C64" t="s">
        <v>723</v>
      </c>
      <c r="D64" s="88">
        <v>3361.29</v>
      </c>
      <c r="E64" s="88"/>
      <c r="F64" s="88"/>
    </row>
    <row r="65" spans="2:9">
      <c r="B65" s="78">
        <v>45070</v>
      </c>
      <c r="C65" t="s">
        <v>726</v>
      </c>
      <c r="D65" s="88">
        <v>6195.64</v>
      </c>
      <c r="E65" s="88"/>
      <c r="F65" s="88"/>
    </row>
    <row r="66" spans="2:9">
      <c r="B66" s="78">
        <v>45046</v>
      </c>
      <c r="C66" t="s">
        <v>726</v>
      </c>
      <c r="D66" s="88">
        <v>4677.09</v>
      </c>
      <c r="E66" s="88"/>
      <c r="F66" s="88"/>
    </row>
    <row r="67" spans="2:9">
      <c r="B67" s="78">
        <v>44941</v>
      </c>
      <c r="C67" t="s">
        <v>728</v>
      </c>
      <c r="D67" s="88">
        <v>458.09</v>
      </c>
      <c r="E67" s="88"/>
      <c r="F67" s="88"/>
    </row>
    <row r="68" spans="2:9">
      <c r="B68" s="78">
        <v>44964</v>
      </c>
      <c r="C68" t="s">
        <v>728</v>
      </c>
      <c r="D68" s="88">
        <v>1363.2</v>
      </c>
      <c r="E68" s="88"/>
      <c r="F68" s="88"/>
    </row>
    <row r="69" spans="2:9">
      <c r="B69" s="78">
        <v>44956</v>
      </c>
      <c r="C69" t="s">
        <v>723</v>
      </c>
      <c r="D69" s="88">
        <v>787.87</v>
      </c>
      <c r="E69" s="88"/>
      <c r="F69" s="88"/>
    </row>
    <row r="70" spans="2:9">
      <c r="B70" s="78">
        <v>45085</v>
      </c>
      <c r="C70" t="s">
        <v>723</v>
      </c>
      <c r="D70" s="88">
        <v>7011.71</v>
      </c>
      <c r="E70" s="88"/>
      <c r="F70" s="88"/>
    </row>
    <row r="71" spans="2:9">
      <c r="B71" s="78">
        <v>45017</v>
      </c>
      <c r="C71" t="s">
        <v>723</v>
      </c>
      <c r="D71" s="88">
        <v>4151.47</v>
      </c>
      <c r="E71" s="88"/>
      <c r="F71" s="88"/>
    </row>
    <row r="72" spans="2:9">
      <c r="B72" s="78">
        <v>44965</v>
      </c>
      <c r="C72" t="s">
        <v>728</v>
      </c>
      <c r="D72" s="88">
        <v>1450.63</v>
      </c>
      <c r="E72" s="88"/>
      <c r="F72" s="88"/>
    </row>
    <row r="73" spans="2:9">
      <c r="B73" s="78">
        <v>44940</v>
      </c>
      <c r="C73" t="s">
        <v>728</v>
      </c>
      <c r="D73" s="88">
        <v>3554.02</v>
      </c>
      <c r="E73" s="88"/>
      <c r="F73" s="88"/>
    </row>
    <row r="74" spans="2:9">
      <c r="B74" s="78">
        <v>45035</v>
      </c>
      <c r="C74" t="s">
        <v>728</v>
      </c>
      <c r="D74" s="88">
        <v>5812.71</v>
      </c>
      <c r="E74" s="88"/>
      <c r="F74" s="88"/>
    </row>
    <row r="75" spans="2:9">
      <c r="B75" s="78">
        <v>45084</v>
      </c>
      <c r="C75" t="s">
        <v>726</v>
      </c>
      <c r="D75" s="88">
        <v>4519.07</v>
      </c>
      <c r="E75" s="88"/>
      <c r="F75" s="88"/>
    </row>
    <row r="76" spans="2:9">
      <c r="B76" s="78">
        <v>45045</v>
      </c>
      <c r="C76" t="s">
        <v>723</v>
      </c>
      <c r="D76" s="88">
        <v>6205.55</v>
      </c>
      <c r="E76" s="88"/>
      <c r="F76" s="88"/>
    </row>
    <row r="77" spans="2:9">
      <c r="B77" s="78">
        <v>44964</v>
      </c>
      <c r="C77" t="s">
        <v>724</v>
      </c>
      <c r="D77" s="88">
        <v>1854.64</v>
      </c>
      <c r="E77" s="88"/>
      <c r="F77" s="88"/>
    </row>
    <row r="78" spans="2:9">
      <c r="B78" s="78">
        <v>45056</v>
      </c>
      <c r="C78" t="s">
        <v>728</v>
      </c>
      <c r="D78" s="88">
        <v>3641.61</v>
      </c>
      <c r="E78" s="88"/>
      <c r="F78" s="88"/>
    </row>
    <row r="79" spans="2:9">
      <c r="B79" s="78">
        <v>45094</v>
      </c>
      <c r="C79" t="s">
        <v>724</v>
      </c>
      <c r="D79" s="88">
        <v>7737.13</v>
      </c>
      <c r="E79" s="88"/>
      <c r="F79" s="88"/>
    </row>
    <row r="80" spans="2:9">
      <c r="B80" s="78">
        <v>45050</v>
      </c>
      <c r="C80" t="s">
        <v>723</v>
      </c>
      <c r="D80" s="88">
        <v>6701.15</v>
      </c>
      <c r="E80" s="88"/>
      <c r="F80" s="88"/>
      <c r="H80" s="78">
        <v>45017</v>
      </c>
      <c r="I80" t="s">
        <v>728</v>
      </c>
    </row>
    <row r="81" spans="2:9">
      <c r="B81" s="78">
        <v>44937</v>
      </c>
      <c r="C81" t="s">
        <v>723</v>
      </c>
      <c r="D81" s="88">
        <v>2713.46</v>
      </c>
      <c r="E81" s="88"/>
      <c r="F81" s="88"/>
      <c r="H81" s="78">
        <v>45017</v>
      </c>
      <c r="I81" t="s">
        <v>723</v>
      </c>
    </row>
    <row r="82" spans="2:9">
      <c r="B82" s="78">
        <v>45063</v>
      </c>
      <c r="C82" t="s">
        <v>723</v>
      </c>
      <c r="D82" s="88">
        <v>4971.41</v>
      </c>
      <c r="E82" s="88"/>
      <c r="F82" s="88"/>
      <c r="H82" s="78">
        <v>45018</v>
      </c>
      <c r="I82" t="s">
        <v>723</v>
      </c>
    </row>
    <row r="83" spans="2:9">
      <c r="B83" s="78">
        <v>45100</v>
      </c>
      <c r="C83" t="s">
        <v>726</v>
      </c>
      <c r="D83" s="88">
        <v>6854.52</v>
      </c>
      <c r="E83" s="88"/>
      <c r="F83" s="88"/>
      <c r="H83" s="78">
        <v>45019</v>
      </c>
      <c r="I83" t="s">
        <v>728</v>
      </c>
    </row>
    <row r="84" spans="2:9">
      <c r="B84" s="78">
        <v>44960</v>
      </c>
      <c r="C84" t="s">
        <v>726</v>
      </c>
      <c r="D84" s="88">
        <v>1635.13</v>
      </c>
      <c r="E84" s="88"/>
      <c r="F84" s="88"/>
      <c r="H84" s="78">
        <v>45020</v>
      </c>
      <c r="I84" t="s">
        <v>726</v>
      </c>
    </row>
    <row r="85" spans="2:9">
      <c r="B85" s="78">
        <v>44965</v>
      </c>
      <c r="C85" t="s">
        <v>723</v>
      </c>
      <c r="D85" s="88">
        <v>1818.23</v>
      </c>
      <c r="E85" s="88"/>
      <c r="F85" s="88"/>
      <c r="H85" s="78">
        <v>45022</v>
      </c>
      <c r="I85" t="s">
        <v>724</v>
      </c>
    </row>
    <row r="86" spans="2:9">
      <c r="B86" s="78">
        <v>45086</v>
      </c>
      <c r="C86" t="s">
        <v>723</v>
      </c>
      <c r="D86" s="88">
        <v>4555.79</v>
      </c>
      <c r="E86" s="88"/>
      <c r="F86" s="88"/>
      <c r="H86" s="78">
        <v>45022</v>
      </c>
      <c r="I86" t="s">
        <v>723</v>
      </c>
    </row>
    <row r="87" spans="2:9">
      <c r="B87" s="78">
        <v>45011</v>
      </c>
      <c r="C87" t="s">
        <v>724</v>
      </c>
      <c r="D87" s="88">
        <v>3263.26</v>
      </c>
      <c r="E87" s="88"/>
      <c r="F87" s="88"/>
      <c r="H87" s="78">
        <v>45023</v>
      </c>
      <c r="I87" t="s">
        <v>724</v>
      </c>
    </row>
    <row r="88" spans="2:9">
      <c r="B88" s="78">
        <v>44971</v>
      </c>
      <c r="C88" t="s">
        <v>724</v>
      </c>
      <c r="D88" s="88">
        <v>4510.13</v>
      </c>
      <c r="E88" s="88"/>
      <c r="F88" s="88"/>
      <c r="H88" s="78">
        <v>45024</v>
      </c>
      <c r="I88" t="s">
        <v>723</v>
      </c>
    </row>
    <row r="89" spans="2:9">
      <c r="B89" s="78">
        <v>44982</v>
      </c>
      <c r="C89" t="s">
        <v>723</v>
      </c>
      <c r="D89" s="88">
        <v>2938.14</v>
      </c>
      <c r="E89" s="88"/>
      <c r="F89" s="88"/>
      <c r="H89" s="78">
        <v>45025</v>
      </c>
      <c r="I89" t="s">
        <v>726</v>
      </c>
    </row>
    <row r="90" spans="2:9">
      <c r="B90" s="78">
        <v>45049</v>
      </c>
      <c r="C90" t="s">
        <v>728</v>
      </c>
      <c r="D90" s="88">
        <v>2483.2399999999998</v>
      </c>
      <c r="E90" s="88"/>
      <c r="F90" s="88"/>
      <c r="H90" s="78">
        <v>45027</v>
      </c>
      <c r="I90" t="s">
        <v>726</v>
      </c>
    </row>
    <row r="91" spans="2:9">
      <c r="B91" s="78">
        <v>45085</v>
      </c>
      <c r="C91" t="s">
        <v>726</v>
      </c>
      <c r="D91" s="88">
        <v>6647.08</v>
      </c>
      <c r="E91" s="88"/>
      <c r="F91" s="88"/>
      <c r="H91" s="78">
        <v>45031</v>
      </c>
      <c r="I91" t="s">
        <v>723</v>
      </c>
    </row>
    <row r="92" spans="2:9">
      <c r="B92" s="78">
        <v>45081</v>
      </c>
      <c r="C92" t="s">
        <v>726</v>
      </c>
      <c r="D92" s="88">
        <v>4431.01</v>
      </c>
      <c r="E92" s="88"/>
      <c r="F92" s="88"/>
      <c r="H92" s="78">
        <v>45032</v>
      </c>
      <c r="I92" t="s">
        <v>728</v>
      </c>
    </row>
    <row r="93" spans="2:9">
      <c r="B93" s="78">
        <v>44955</v>
      </c>
      <c r="C93" t="s">
        <v>728</v>
      </c>
      <c r="D93" s="88">
        <v>3838.87</v>
      </c>
      <c r="E93" s="88"/>
      <c r="F93" s="88"/>
      <c r="H93" s="78">
        <v>45033</v>
      </c>
      <c r="I93" t="s">
        <v>728</v>
      </c>
    </row>
    <row r="94" spans="2:9">
      <c r="B94" s="78">
        <v>45097</v>
      </c>
      <c r="C94" t="s">
        <v>723</v>
      </c>
      <c r="D94" s="88">
        <v>5735.86</v>
      </c>
      <c r="E94" s="88"/>
      <c r="F94" s="88"/>
      <c r="H94" s="78">
        <v>45034</v>
      </c>
      <c r="I94" t="s">
        <v>723</v>
      </c>
    </row>
    <row r="95" spans="2:9">
      <c r="B95" s="78">
        <v>45041</v>
      </c>
      <c r="C95" t="s">
        <v>723</v>
      </c>
      <c r="D95" s="88">
        <v>2925.87</v>
      </c>
      <c r="E95" s="88"/>
      <c r="F95" s="88"/>
      <c r="H95" s="78">
        <v>45035</v>
      </c>
      <c r="I95" t="s">
        <v>728</v>
      </c>
    </row>
    <row r="96" spans="2:9">
      <c r="B96" s="78">
        <v>45100</v>
      </c>
      <c r="C96" t="s">
        <v>726</v>
      </c>
      <c r="D96" s="88">
        <v>5276.25</v>
      </c>
      <c r="E96" s="88"/>
      <c r="F96" s="88"/>
      <c r="H96" s="78">
        <v>45036</v>
      </c>
      <c r="I96" t="s">
        <v>726</v>
      </c>
    </row>
    <row r="97" spans="2:9">
      <c r="B97" s="78">
        <v>44953</v>
      </c>
      <c r="C97" t="s">
        <v>723</v>
      </c>
      <c r="D97" s="88">
        <v>883.34</v>
      </c>
      <c r="E97" s="88"/>
      <c r="F97" s="88"/>
      <c r="H97" s="78">
        <v>45036</v>
      </c>
      <c r="I97" t="s">
        <v>723</v>
      </c>
    </row>
    <row r="98" spans="2:9">
      <c r="B98" s="78">
        <v>44993</v>
      </c>
      <c r="C98" t="s">
        <v>726</v>
      </c>
      <c r="D98" s="88">
        <v>3709.57</v>
      </c>
      <c r="E98" s="88"/>
      <c r="F98" s="88"/>
      <c r="H98" s="78">
        <v>45036</v>
      </c>
      <c r="I98" t="s">
        <v>723</v>
      </c>
    </row>
    <row r="99" spans="2:9">
      <c r="B99" s="78">
        <v>45013</v>
      </c>
      <c r="C99" t="s">
        <v>728</v>
      </c>
      <c r="D99" s="88">
        <v>2220.35</v>
      </c>
      <c r="E99" s="88"/>
      <c r="F99" s="88"/>
      <c r="H99" s="78">
        <v>45038</v>
      </c>
      <c r="I99" t="s">
        <v>724</v>
      </c>
    </row>
    <row r="100" spans="2:9">
      <c r="B100" s="78">
        <v>45091</v>
      </c>
      <c r="C100" t="s">
        <v>723</v>
      </c>
      <c r="D100" s="88">
        <v>4217.26</v>
      </c>
      <c r="E100" s="88"/>
      <c r="F100" s="88"/>
      <c r="H100" s="78">
        <v>45041</v>
      </c>
      <c r="I100" t="s">
        <v>728</v>
      </c>
    </row>
    <row r="101" spans="2:9">
      <c r="B101" s="78">
        <v>45072</v>
      </c>
      <c r="C101" t="s">
        <v>728</v>
      </c>
      <c r="D101" s="88">
        <v>6436.11</v>
      </c>
      <c r="E101" s="88"/>
      <c r="F101" s="88"/>
      <c r="H101" s="78">
        <v>45041</v>
      </c>
      <c r="I101" t="s">
        <v>723</v>
      </c>
    </row>
    <row r="102" spans="2:9">
      <c r="B102" s="78">
        <v>44956</v>
      </c>
      <c r="C102" t="s">
        <v>724</v>
      </c>
      <c r="D102" s="88">
        <v>3354.4</v>
      </c>
      <c r="E102" s="88"/>
      <c r="F102" s="88"/>
      <c r="H102" s="78">
        <v>45044</v>
      </c>
      <c r="I102" t="s">
        <v>726</v>
      </c>
    </row>
    <row r="103" spans="2:9">
      <c r="B103" s="78">
        <v>44958</v>
      </c>
      <c r="C103" t="s">
        <v>728</v>
      </c>
      <c r="D103" s="88">
        <v>4467.0200000000004</v>
      </c>
      <c r="E103" s="88"/>
      <c r="F103" s="88"/>
      <c r="H103" s="78">
        <v>45045</v>
      </c>
      <c r="I103" t="s">
        <v>724</v>
      </c>
    </row>
    <row r="104" spans="2:9">
      <c r="B104" s="78">
        <v>44970</v>
      </c>
      <c r="C104" t="s">
        <v>728</v>
      </c>
      <c r="D104" s="88">
        <v>1561.53</v>
      </c>
      <c r="E104" s="88"/>
      <c r="F104" s="88"/>
      <c r="H104" s="78">
        <v>45045</v>
      </c>
      <c r="I104" t="s">
        <v>724</v>
      </c>
    </row>
    <row r="105" spans="2:9">
      <c r="B105" s="78">
        <v>45086</v>
      </c>
      <c r="C105" t="s">
        <v>723</v>
      </c>
      <c r="D105" s="88">
        <v>4665.33</v>
      </c>
      <c r="E105" s="88"/>
      <c r="F105" s="88"/>
      <c r="H105" s="78">
        <v>45045</v>
      </c>
      <c r="I105" t="s">
        <v>724</v>
      </c>
    </row>
    <row r="106" spans="2:9">
      <c r="B106" s="78">
        <v>44971</v>
      </c>
      <c r="C106" t="s">
        <v>728</v>
      </c>
      <c r="D106" s="88">
        <v>1576.29</v>
      </c>
      <c r="E106" s="88"/>
      <c r="F106" s="88"/>
      <c r="H106" s="78">
        <v>45045</v>
      </c>
      <c r="I106" t="s">
        <v>723</v>
      </c>
    </row>
    <row r="107" spans="2:9">
      <c r="B107" s="78">
        <v>44943</v>
      </c>
      <c r="C107" t="s">
        <v>726</v>
      </c>
      <c r="D107" s="88">
        <v>3882.28</v>
      </c>
      <c r="E107" s="88"/>
      <c r="F107" s="88"/>
      <c r="H107" s="78">
        <v>45046</v>
      </c>
      <c r="I107" t="s">
        <v>726</v>
      </c>
    </row>
    <row r="108" spans="2:9">
      <c r="B108" s="78">
        <v>45036</v>
      </c>
      <c r="C108" t="s">
        <v>723</v>
      </c>
      <c r="D108" s="88">
        <v>2248.7800000000002</v>
      </c>
      <c r="E108" s="88"/>
      <c r="F108" s="88"/>
      <c r="H108" s="78">
        <v>45046</v>
      </c>
      <c r="I108" t="s">
        <v>723</v>
      </c>
    </row>
    <row r="109" spans="2:9">
      <c r="B109" s="78">
        <v>44965</v>
      </c>
      <c r="C109" t="s">
        <v>723</v>
      </c>
      <c r="D109" s="88">
        <v>4546.43</v>
      </c>
      <c r="E109" s="88"/>
      <c r="F109" s="88"/>
      <c r="H109" s="78">
        <v>45049</v>
      </c>
      <c r="I109" t="s">
        <v>724</v>
      </c>
    </row>
    <row r="110" spans="2:9">
      <c r="B110" s="78">
        <v>44980</v>
      </c>
      <c r="C110" t="s">
        <v>728</v>
      </c>
      <c r="D110" s="88">
        <v>4063.91</v>
      </c>
      <c r="E110" s="88"/>
      <c r="F110" s="88"/>
      <c r="H110" s="78">
        <v>45049</v>
      </c>
      <c r="I110" t="s">
        <v>723</v>
      </c>
    </row>
    <row r="111" spans="2:9">
      <c r="B111" s="78">
        <v>45080</v>
      </c>
      <c r="C111" t="s">
        <v>724</v>
      </c>
      <c r="D111" s="88">
        <v>5521.63</v>
      </c>
      <c r="E111" s="88"/>
      <c r="F111" s="88"/>
      <c r="H111" s="78">
        <v>45049</v>
      </c>
      <c r="I111" t="s">
        <v>728</v>
      </c>
    </row>
    <row r="112" spans="2:9">
      <c r="B112" s="78">
        <v>44952</v>
      </c>
      <c r="C112" t="s">
        <v>726</v>
      </c>
      <c r="D112" s="88">
        <v>156.34</v>
      </c>
      <c r="E112" s="88"/>
      <c r="F112" s="88"/>
      <c r="H112" s="78">
        <v>45050</v>
      </c>
      <c r="I112" t="s">
        <v>723</v>
      </c>
    </row>
    <row r="113" spans="2:9">
      <c r="B113" s="78">
        <v>45036</v>
      </c>
      <c r="C113" t="s">
        <v>723</v>
      </c>
      <c r="D113" s="88">
        <v>4344.4399999999996</v>
      </c>
      <c r="E113" s="88"/>
      <c r="F113" s="88"/>
      <c r="H113" s="78">
        <v>45055</v>
      </c>
      <c r="I113" t="s">
        <v>726</v>
      </c>
    </row>
    <row r="114" spans="2:9">
      <c r="B114" s="78">
        <v>44934</v>
      </c>
      <c r="C114" t="s">
        <v>723</v>
      </c>
      <c r="D114" s="88">
        <v>3634.56</v>
      </c>
      <c r="E114" s="88"/>
      <c r="F114" s="88"/>
      <c r="H114" s="78">
        <v>45055</v>
      </c>
      <c r="I114" t="s">
        <v>728</v>
      </c>
    </row>
    <row r="115" spans="2:9">
      <c r="B115" s="78">
        <v>45033</v>
      </c>
      <c r="C115" t="s">
        <v>728</v>
      </c>
      <c r="D115" s="88">
        <v>6239.21</v>
      </c>
      <c r="E115" s="88"/>
      <c r="F115" s="88"/>
      <c r="H115" s="78">
        <v>45056</v>
      </c>
      <c r="I115" t="s">
        <v>723</v>
      </c>
    </row>
    <row r="116" spans="2:9">
      <c r="B116" s="78">
        <v>45059</v>
      </c>
      <c r="C116" t="s">
        <v>726</v>
      </c>
      <c r="D116" s="88">
        <v>4230.25</v>
      </c>
      <c r="E116" s="88"/>
      <c r="F116" s="88"/>
      <c r="H116" s="78">
        <v>45056</v>
      </c>
      <c r="I116" t="s">
        <v>724</v>
      </c>
    </row>
    <row r="117" spans="2:9">
      <c r="B117" s="78">
        <v>45057</v>
      </c>
      <c r="C117" t="s">
        <v>724</v>
      </c>
      <c r="D117" s="88">
        <v>2727.85</v>
      </c>
      <c r="E117" s="88"/>
      <c r="F117" s="88"/>
      <c r="H117" s="78">
        <v>45056</v>
      </c>
      <c r="I117" t="s">
        <v>728</v>
      </c>
    </row>
    <row r="118" spans="2:9">
      <c r="B118" s="78">
        <v>45077</v>
      </c>
      <c r="C118" t="s">
        <v>724</v>
      </c>
      <c r="D118" s="88">
        <v>1318.06</v>
      </c>
      <c r="E118" s="88"/>
      <c r="F118" s="88"/>
      <c r="H118" s="78">
        <v>45057</v>
      </c>
      <c r="I118" t="s">
        <v>724</v>
      </c>
    </row>
    <row r="119" spans="2:9">
      <c r="B119" s="78">
        <v>44941</v>
      </c>
      <c r="C119" t="s">
        <v>723</v>
      </c>
      <c r="D119" s="88">
        <v>2140.04</v>
      </c>
      <c r="E119" s="88"/>
      <c r="F119" s="88"/>
      <c r="H119" s="78">
        <v>45058</v>
      </c>
      <c r="I119" t="s">
        <v>724</v>
      </c>
    </row>
    <row r="120" spans="2:9">
      <c r="B120" s="78">
        <v>45001</v>
      </c>
      <c r="C120" t="s">
        <v>723</v>
      </c>
      <c r="D120" s="88">
        <v>3367.39</v>
      </c>
      <c r="E120" s="88"/>
      <c r="F120" s="88"/>
      <c r="H120" s="78">
        <v>45059</v>
      </c>
      <c r="I120" t="s">
        <v>726</v>
      </c>
    </row>
    <row r="121" spans="2:9">
      <c r="B121" s="78">
        <v>44969</v>
      </c>
      <c r="C121" t="s">
        <v>724</v>
      </c>
      <c r="D121" s="88">
        <v>1482.88</v>
      </c>
      <c r="E121" s="88"/>
      <c r="F121" s="88"/>
      <c r="H121" s="78">
        <v>45063</v>
      </c>
      <c r="I121" t="s">
        <v>723</v>
      </c>
    </row>
    <row r="122" spans="2:9">
      <c r="B122" s="78">
        <v>44949</v>
      </c>
      <c r="C122" t="s">
        <v>723</v>
      </c>
      <c r="D122" s="88">
        <v>2907.42</v>
      </c>
      <c r="E122" s="88"/>
      <c r="F122" s="88"/>
      <c r="H122" s="78">
        <v>45064</v>
      </c>
      <c r="I122" t="s">
        <v>724</v>
      </c>
    </row>
    <row r="123" spans="2:9">
      <c r="B123" s="78">
        <v>44947</v>
      </c>
      <c r="C123" t="s">
        <v>724</v>
      </c>
      <c r="D123" s="88">
        <v>3223.12</v>
      </c>
      <c r="E123" s="88"/>
      <c r="F123" s="88"/>
      <c r="H123" s="78">
        <v>45068</v>
      </c>
      <c r="I123" t="s">
        <v>724</v>
      </c>
    </row>
    <row r="124" spans="2:9">
      <c r="B124" s="78">
        <v>45044</v>
      </c>
      <c r="C124" t="s">
        <v>726</v>
      </c>
      <c r="D124" s="88">
        <v>3360.52</v>
      </c>
      <c r="E124" s="88"/>
      <c r="F124" s="88"/>
      <c r="H124" s="78">
        <v>45069</v>
      </c>
      <c r="I124" t="s">
        <v>728</v>
      </c>
    </row>
    <row r="125" spans="2:9">
      <c r="B125" s="78">
        <v>45093</v>
      </c>
      <c r="C125" t="s">
        <v>726</v>
      </c>
      <c r="D125" s="88">
        <v>4197.76</v>
      </c>
      <c r="E125" s="88"/>
      <c r="F125" s="88"/>
      <c r="H125" s="78">
        <v>45069</v>
      </c>
      <c r="I125" t="s">
        <v>726</v>
      </c>
    </row>
    <row r="126" spans="2:9">
      <c r="B126" s="78">
        <v>45093</v>
      </c>
      <c r="C126" t="s">
        <v>728</v>
      </c>
      <c r="D126" s="88">
        <v>7645.36</v>
      </c>
      <c r="E126" s="88"/>
      <c r="F126" s="88"/>
      <c r="H126" s="78">
        <v>45070</v>
      </c>
      <c r="I126" t="s">
        <v>726</v>
      </c>
    </row>
    <row r="127" spans="2:9">
      <c r="B127" s="78">
        <v>45071</v>
      </c>
      <c r="C127" t="s">
        <v>728</v>
      </c>
      <c r="D127" s="88">
        <v>3860.31</v>
      </c>
      <c r="E127" s="88"/>
      <c r="F127" s="88"/>
      <c r="H127" s="78">
        <v>45071</v>
      </c>
      <c r="I127" t="s">
        <v>728</v>
      </c>
    </row>
    <row r="128" spans="2:9">
      <c r="B128" s="78">
        <v>44973</v>
      </c>
      <c r="C128" t="s">
        <v>723</v>
      </c>
      <c r="D128" s="88">
        <v>43.43</v>
      </c>
      <c r="E128" s="88"/>
      <c r="F128" s="88"/>
      <c r="H128" s="78">
        <v>45072</v>
      </c>
      <c r="I128" t="s">
        <v>728</v>
      </c>
    </row>
    <row r="129" spans="2:9">
      <c r="B129" s="78">
        <v>44958</v>
      </c>
      <c r="C129" t="s">
        <v>726</v>
      </c>
      <c r="D129" s="88">
        <v>4434.0600000000004</v>
      </c>
      <c r="E129" s="88"/>
      <c r="F129" s="88"/>
      <c r="H129" s="78">
        <v>45072</v>
      </c>
      <c r="I129" t="s">
        <v>728</v>
      </c>
    </row>
    <row r="130" spans="2:9">
      <c r="B130" s="78">
        <v>44986</v>
      </c>
      <c r="C130" t="s">
        <v>724</v>
      </c>
      <c r="D130" s="88">
        <v>4690.49</v>
      </c>
      <c r="E130" s="88"/>
      <c r="F130" s="88"/>
      <c r="H130" s="78">
        <v>45073</v>
      </c>
      <c r="I130" t="s">
        <v>726</v>
      </c>
    </row>
    <row r="131" spans="2:9">
      <c r="B131" s="78">
        <v>44982</v>
      </c>
      <c r="C131" t="s">
        <v>728</v>
      </c>
      <c r="D131" s="88">
        <v>2738.8</v>
      </c>
      <c r="E131" s="88"/>
      <c r="F131" s="88"/>
      <c r="H131" s="78">
        <v>45074</v>
      </c>
      <c r="I131" t="s">
        <v>728</v>
      </c>
    </row>
    <row r="132" spans="2:9">
      <c r="B132" s="78">
        <v>45056</v>
      </c>
      <c r="C132" t="s">
        <v>724</v>
      </c>
      <c r="D132" s="88">
        <v>6773.57</v>
      </c>
      <c r="E132" s="88"/>
      <c r="F132" s="88"/>
      <c r="H132" s="78">
        <v>45074</v>
      </c>
      <c r="I132" t="s">
        <v>726</v>
      </c>
    </row>
    <row r="133" spans="2:9">
      <c r="B133" s="78">
        <v>45036</v>
      </c>
      <c r="C133" t="s">
        <v>726</v>
      </c>
      <c r="D133" s="88">
        <v>6139.01</v>
      </c>
      <c r="E133" s="88"/>
      <c r="F133" s="88"/>
      <c r="H133" s="78">
        <v>45075</v>
      </c>
      <c r="I133" t="s">
        <v>728</v>
      </c>
    </row>
    <row r="134" spans="2:9">
      <c r="B134" s="78">
        <v>45045</v>
      </c>
      <c r="C134" t="s">
        <v>724</v>
      </c>
      <c r="D134" s="88">
        <v>1381.72</v>
      </c>
      <c r="E134" s="88"/>
      <c r="F134" s="88"/>
      <c r="H134" s="78">
        <v>45076</v>
      </c>
      <c r="I134" t="s">
        <v>728</v>
      </c>
    </row>
    <row r="135" spans="2:9">
      <c r="B135" s="78">
        <v>44940</v>
      </c>
      <c r="C135" t="s">
        <v>724</v>
      </c>
      <c r="D135" s="88">
        <v>3409.51</v>
      </c>
      <c r="E135" s="88"/>
      <c r="F135" s="88"/>
      <c r="H135" s="78">
        <v>45077</v>
      </c>
      <c r="I135" t="s">
        <v>724</v>
      </c>
    </row>
    <row r="136" spans="2:9">
      <c r="B136" s="78">
        <v>45074</v>
      </c>
      <c r="C136" t="s">
        <v>728</v>
      </c>
      <c r="D136" s="88">
        <v>1335.64</v>
      </c>
      <c r="E136" s="88"/>
      <c r="F136" s="88"/>
      <c r="H136" s="78">
        <v>45078</v>
      </c>
      <c r="I136" t="s">
        <v>724</v>
      </c>
    </row>
    <row r="137" spans="2:9">
      <c r="B137" s="78">
        <v>45079</v>
      </c>
      <c r="C137" t="s">
        <v>726</v>
      </c>
      <c r="D137" s="88">
        <v>7674.41</v>
      </c>
      <c r="E137" s="88"/>
      <c r="F137" s="88"/>
      <c r="H137" s="78">
        <v>45079</v>
      </c>
      <c r="I137" t="s">
        <v>726</v>
      </c>
    </row>
    <row r="138" spans="2:9">
      <c r="B138" s="78">
        <v>44981</v>
      </c>
      <c r="C138" t="s">
        <v>724</v>
      </c>
      <c r="D138" s="88">
        <v>697.75</v>
      </c>
      <c r="E138" s="88"/>
      <c r="F138" s="88"/>
      <c r="H138" s="78">
        <v>45079</v>
      </c>
      <c r="I138" t="s">
        <v>728</v>
      </c>
    </row>
    <row r="139" spans="2:9">
      <c r="B139" s="78">
        <v>45004</v>
      </c>
      <c r="C139" t="s">
        <v>728</v>
      </c>
      <c r="D139" s="88">
        <v>4499.43</v>
      </c>
      <c r="E139" s="88"/>
      <c r="F139" s="88"/>
      <c r="H139" s="78">
        <v>45080</v>
      </c>
      <c r="I139" t="s">
        <v>724</v>
      </c>
    </row>
    <row r="140" spans="2:9">
      <c r="B140" s="78">
        <v>44969</v>
      </c>
      <c r="C140" t="s">
        <v>728</v>
      </c>
      <c r="D140" s="88">
        <v>2322.23</v>
      </c>
      <c r="E140" s="88"/>
      <c r="F140" s="88"/>
      <c r="H140" s="78">
        <v>45081</v>
      </c>
      <c r="I140" t="s">
        <v>726</v>
      </c>
    </row>
    <row r="141" spans="2:9">
      <c r="B141" s="78">
        <v>44998</v>
      </c>
      <c r="C141" t="s">
        <v>724</v>
      </c>
      <c r="D141" s="88">
        <v>3170.86</v>
      </c>
      <c r="E141" s="88"/>
      <c r="F141" s="88"/>
      <c r="H141" s="78">
        <v>45082</v>
      </c>
      <c r="I141" t="s">
        <v>724</v>
      </c>
    </row>
    <row r="142" spans="2:9">
      <c r="B142" s="78">
        <v>45001</v>
      </c>
      <c r="C142" t="s">
        <v>724</v>
      </c>
      <c r="D142" s="88">
        <v>494.38</v>
      </c>
      <c r="E142" s="88"/>
      <c r="F142" s="88"/>
      <c r="H142" s="78">
        <v>45082</v>
      </c>
      <c r="I142" t="s">
        <v>728</v>
      </c>
    </row>
    <row r="143" spans="2:9">
      <c r="B143" s="78">
        <v>45093</v>
      </c>
      <c r="C143" t="s">
        <v>723</v>
      </c>
      <c r="D143" s="88">
        <v>7361.51</v>
      </c>
      <c r="E143" s="88"/>
      <c r="F143" s="88"/>
      <c r="H143" s="78">
        <v>45082</v>
      </c>
      <c r="I143" t="s">
        <v>724</v>
      </c>
    </row>
    <row r="144" spans="2:9">
      <c r="B144" s="78">
        <v>45038</v>
      </c>
      <c r="C144" t="s">
        <v>724</v>
      </c>
      <c r="D144" s="88">
        <v>4981.83</v>
      </c>
      <c r="E144" s="88"/>
      <c r="F144" s="88"/>
      <c r="H144" s="78">
        <v>45084</v>
      </c>
      <c r="I144" t="s">
        <v>726</v>
      </c>
    </row>
    <row r="145" spans="2:9">
      <c r="B145" s="78">
        <v>44999</v>
      </c>
      <c r="C145" t="s">
        <v>723</v>
      </c>
      <c r="D145" s="88">
        <v>2539.84</v>
      </c>
      <c r="E145" s="88"/>
      <c r="F145" s="88"/>
      <c r="H145" s="78">
        <v>45084</v>
      </c>
      <c r="I145" t="s">
        <v>726</v>
      </c>
    </row>
    <row r="146" spans="2:9">
      <c r="B146" s="78">
        <v>45022</v>
      </c>
      <c r="C146" t="s">
        <v>723</v>
      </c>
      <c r="D146" s="88">
        <v>3164.17</v>
      </c>
      <c r="E146" s="88"/>
      <c r="F146" s="88"/>
      <c r="H146" s="78">
        <v>45085</v>
      </c>
      <c r="I146" t="s">
        <v>723</v>
      </c>
    </row>
    <row r="147" spans="2:9">
      <c r="B147" s="78">
        <v>44966</v>
      </c>
      <c r="C147" t="s">
        <v>724</v>
      </c>
      <c r="D147" s="88">
        <v>4710.5200000000004</v>
      </c>
      <c r="E147" s="88"/>
      <c r="F147" s="88"/>
      <c r="H147" s="78">
        <v>45085</v>
      </c>
      <c r="I147" t="s">
        <v>726</v>
      </c>
    </row>
    <row r="148" spans="2:9">
      <c r="B148" s="78">
        <v>45017</v>
      </c>
      <c r="C148" t="s">
        <v>728</v>
      </c>
      <c r="D148" s="88">
        <v>5229.01</v>
      </c>
      <c r="E148" s="88"/>
      <c r="F148" s="88"/>
      <c r="H148" s="78">
        <v>45085</v>
      </c>
      <c r="I148" t="s">
        <v>723</v>
      </c>
    </row>
    <row r="149" spans="2:9">
      <c r="B149" s="78">
        <v>45102</v>
      </c>
      <c r="C149" t="s">
        <v>724</v>
      </c>
      <c r="D149" s="88">
        <v>4064.22</v>
      </c>
      <c r="E149" s="88"/>
      <c r="F149" s="88"/>
      <c r="H149" s="78">
        <v>45086</v>
      </c>
      <c r="I149" t="s">
        <v>724</v>
      </c>
    </row>
    <row r="150" spans="2:9">
      <c r="B150" s="78">
        <v>45075</v>
      </c>
      <c r="C150" t="s">
        <v>728</v>
      </c>
      <c r="D150" s="88">
        <v>6973.41</v>
      </c>
      <c r="E150" s="88"/>
      <c r="F150" s="88"/>
      <c r="H150" s="78">
        <v>45086</v>
      </c>
      <c r="I150" t="s">
        <v>723</v>
      </c>
    </row>
    <row r="151" spans="2:9">
      <c r="B151" s="78">
        <v>45014</v>
      </c>
      <c r="C151" t="s">
        <v>728</v>
      </c>
      <c r="D151" s="88">
        <v>2574.33</v>
      </c>
      <c r="E151" s="88"/>
      <c r="F151" s="88"/>
      <c r="H151" s="78">
        <v>45086</v>
      </c>
      <c r="I151" t="s">
        <v>723</v>
      </c>
    </row>
    <row r="152" spans="2:9">
      <c r="B152" s="78">
        <v>45055</v>
      </c>
      <c r="C152" t="s">
        <v>726</v>
      </c>
      <c r="D152" s="88">
        <v>5294.68</v>
      </c>
      <c r="E152" s="88"/>
      <c r="F152" s="88"/>
      <c r="H152" s="78">
        <v>45087</v>
      </c>
      <c r="I152" t="s">
        <v>724</v>
      </c>
    </row>
    <row r="153" spans="2:9">
      <c r="B153" s="78">
        <v>45018</v>
      </c>
      <c r="C153" t="s">
        <v>723</v>
      </c>
      <c r="D153" s="88">
        <v>4213.6499999999996</v>
      </c>
      <c r="E153" s="88"/>
      <c r="F153" s="88"/>
      <c r="H153" s="78">
        <v>45089</v>
      </c>
      <c r="I153" t="s">
        <v>724</v>
      </c>
    </row>
    <row r="154" spans="2:9">
      <c r="B154" s="78">
        <v>44939</v>
      </c>
      <c r="C154" t="s">
        <v>724</v>
      </c>
      <c r="D154" s="88">
        <v>1526.73</v>
      </c>
      <c r="E154" s="88"/>
      <c r="F154" s="88"/>
      <c r="H154" s="78">
        <v>45089</v>
      </c>
      <c r="I154" t="s">
        <v>726</v>
      </c>
    </row>
    <row r="155" spans="2:9">
      <c r="B155" s="78">
        <v>45076</v>
      </c>
      <c r="C155" t="s">
        <v>728</v>
      </c>
      <c r="D155" s="88">
        <v>2386.48</v>
      </c>
      <c r="E155" s="88"/>
      <c r="F155" s="88"/>
      <c r="H155" s="78">
        <v>45091</v>
      </c>
      <c r="I155" t="s">
        <v>723</v>
      </c>
    </row>
    <row r="156" spans="2:9">
      <c r="B156" s="78">
        <v>45022</v>
      </c>
      <c r="C156" t="s">
        <v>724</v>
      </c>
      <c r="D156" s="88">
        <v>4672.2</v>
      </c>
      <c r="E156" s="88"/>
      <c r="F156" s="88"/>
      <c r="H156" s="78">
        <v>45093</v>
      </c>
      <c r="I156" t="s">
        <v>728</v>
      </c>
    </row>
    <row r="157" spans="2:9">
      <c r="B157" s="78">
        <v>44973</v>
      </c>
      <c r="C157" t="s">
        <v>726</v>
      </c>
      <c r="D157" s="88">
        <v>740.43</v>
      </c>
      <c r="E157" s="88"/>
      <c r="F157" s="88"/>
      <c r="H157" s="78">
        <v>45093</v>
      </c>
      <c r="I157" t="s">
        <v>723</v>
      </c>
    </row>
    <row r="158" spans="2:9">
      <c r="B158" s="78">
        <v>45009</v>
      </c>
      <c r="C158" t="s">
        <v>726</v>
      </c>
      <c r="D158" s="88">
        <v>1723.54</v>
      </c>
      <c r="E158" s="88"/>
      <c r="F158" s="88"/>
      <c r="H158" s="78">
        <v>45093</v>
      </c>
      <c r="I158" t="s">
        <v>726</v>
      </c>
    </row>
    <row r="159" spans="2:9">
      <c r="B159" s="78">
        <v>45082</v>
      </c>
      <c r="C159" t="s">
        <v>728</v>
      </c>
      <c r="D159" s="88">
        <v>6099.11</v>
      </c>
      <c r="E159" s="88"/>
      <c r="F159" s="88"/>
      <c r="H159" s="78">
        <v>45094</v>
      </c>
      <c r="I159" t="s">
        <v>724</v>
      </c>
    </row>
    <row r="160" spans="2:9">
      <c r="B160" s="78">
        <v>45103</v>
      </c>
      <c r="C160" t="s">
        <v>728</v>
      </c>
      <c r="D160" s="88">
        <v>4163.58</v>
      </c>
      <c r="E160" s="88"/>
      <c r="F160" s="88"/>
      <c r="H160" s="78">
        <v>45095</v>
      </c>
      <c r="I160" t="s">
        <v>724</v>
      </c>
    </row>
    <row r="161" spans="2:9">
      <c r="B161" s="78">
        <v>45082</v>
      </c>
      <c r="C161" t="s">
        <v>724</v>
      </c>
      <c r="D161" s="88">
        <v>6523.01</v>
      </c>
      <c r="E161" s="88"/>
      <c r="F161" s="88"/>
      <c r="H161" s="78">
        <v>45097</v>
      </c>
      <c r="I161" t="s">
        <v>723</v>
      </c>
    </row>
    <row r="162" spans="2:9">
      <c r="B162" s="78">
        <v>44959</v>
      </c>
      <c r="C162" t="s">
        <v>723</v>
      </c>
      <c r="D162" s="88">
        <v>2066.4299999999998</v>
      </c>
      <c r="E162" s="88"/>
      <c r="F162" s="88"/>
      <c r="H162" s="78">
        <v>45097</v>
      </c>
      <c r="I162" t="s">
        <v>728</v>
      </c>
    </row>
    <row r="163" spans="2:9">
      <c r="B163" s="78">
        <v>45087</v>
      </c>
      <c r="C163" t="s">
        <v>724</v>
      </c>
      <c r="D163" s="88">
        <v>5006.4799999999996</v>
      </c>
      <c r="E163" s="88"/>
      <c r="F163" s="88"/>
      <c r="H163" s="78">
        <v>45097</v>
      </c>
      <c r="I163" t="s">
        <v>728</v>
      </c>
    </row>
    <row r="164" spans="2:9">
      <c r="B164" s="78">
        <v>45072</v>
      </c>
      <c r="C164" t="s">
        <v>728</v>
      </c>
      <c r="D164" s="88">
        <v>2174.94</v>
      </c>
      <c r="E164" s="88"/>
      <c r="F164" s="88"/>
      <c r="H164" s="78">
        <v>45100</v>
      </c>
      <c r="I164" t="s">
        <v>726</v>
      </c>
    </row>
    <row r="165" spans="2:9">
      <c r="B165" s="78">
        <v>44979</v>
      </c>
      <c r="C165" t="s">
        <v>723</v>
      </c>
      <c r="D165" s="88">
        <v>3194.89</v>
      </c>
      <c r="E165" s="88"/>
      <c r="F165" s="88"/>
      <c r="H165" s="78">
        <v>45100</v>
      </c>
      <c r="I165" t="s">
        <v>726</v>
      </c>
    </row>
    <row r="166" spans="2:9">
      <c r="B166" s="78">
        <v>44960</v>
      </c>
      <c r="C166" t="s">
        <v>723</v>
      </c>
      <c r="D166" s="88">
        <v>3389.24</v>
      </c>
      <c r="E166" s="88"/>
      <c r="F166" s="88"/>
      <c r="H166" s="78">
        <v>45102</v>
      </c>
      <c r="I166" t="s">
        <v>724</v>
      </c>
    </row>
    <row r="167" spans="2:9">
      <c r="B167" s="78">
        <v>45069</v>
      </c>
      <c r="C167" t="s">
        <v>726</v>
      </c>
      <c r="D167" s="88">
        <v>1534.98</v>
      </c>
      <c r="E167" s="88"/>
      <c r="F167" s="88"/>
      <c r="H167" s="78">
        <v>45102</v>
      </c>
      <c r="I167" t="s">
        <v>723</v>
      </c>
    </row>
    <row r="168" spans="2:9">
      <c r="B168" s="78">
        <v>45058</v>
      </c>
      <c r="C168" t="s">
        <v>724</v>
      </c>
      <c r="D168" s="88">
        <v>5203.76</v>
      </c>
      <c r="E168" s="88"/>
      <c r="F168" s="88"/>
      <c r="H168" s="78">
        <v>45103</v>
      </c>
      <c r="I168" t="s">
        <v>728</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E36BC-2FFD-450D-BB3D-EB74AF9CD1E9}">
  <dimension ref="A1:Q31"/>
  <sheetViews>
    <sheetView showGridLines="0" workbookViewId="0">
      <selection activeCell="Q15" sqref="Q15"/>
    </sheetView>
  </sheetViews>
  <sheetFormatPr defaultColWidth="0" defaultRowHeight="14.5" customHeight="1" zeroHeight="1"/>
  <cols>
    <col min="1" max="17" width="9.1796875" style="1" customWidth="1"/>
    <col min="18" max="16384" width="9.1796875" style="1" hidden="1"/>
  </cols>
  <sheetData>
    <row r="1" ht="14.5" customHeight="1"/>
    <row r="2" ht="14.5" customHeight="1"/>
    <row r="3" ht="14.5" customHeight="1"/>
    <row r="4" ht="14.5" customHeight="1"/>
    <row r="5" ht="14.5" customHeight="1"/>
    <row r="6" ht="14.5" customHeight="1"/>
    <row r="7" ht="14.5" customHeight="1"/>
    <row r="8" ht="14.5" customHeight="1"/>
    <row r="9" ht="14.5" customHeight="1"/>
    <row r="10" ht="14.5" customHeight="1"/>
    <row r="11" ht="14.5" customHeight="1"/>
    <row r="12" ht="14.5" customHeight="1"/>
    <row r="13" ht="14.5" customHeight="1"/>
    <row r="14" ht="14.5" customHeight="1"/>
    <row r="15" ht="14.5" customHeight="1"/>
    <row r="16" ht="14.5" customHeight="1"/>
    <row r="17" ht="14.5" customHeight="1"/>
    <row r="18" ht="14.5" customHeight="1"/>
    <row r="19" ht="14.5" customHeight="1"/>
    <row r="20" ht="14.5" customHeight="1"/>
    <row r="21" ht="14.5" customHeight="1"/>
    <row r="22" ht="14.5" customHeight="1"/>
    <row r="23" ht="14.5" customHeight="1"/>
    <row r="24" ht="14.5" customHeight="1"/>
    <row r="25" ht="14.5" customHeight="1"/>
    <row r="26" ht="14.5" customHeight="1"/>
    <row r="27" ht="14.5" customHeight="1"/>
    <row r="28" ht="14.5" customHeight="1"/>
    <row r="29" ht="14.5" customHeight="1"/>
    <row r="30" ht="14.5" customHeight="1"/>
    <row r="31" ht="14.5" customHeight="1"/>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9C58D-F20D-4476-BE7A-3DB7AE61A68C}">
  <sheetPr>
    <tabColor rgb="FFFF0000"/>
  </sheetPr>
  <dimension ref="B1:K39"/>
  <sheetViews>
    <sheetView tabSelected="1" topLeftCell="A25" zoomScaleNormal="100" workbookViewId="0">
      <selection activeCell="I35" sqref="I35"/>
    </sheetView>
  </sheetViews>
  <sheetFormatPr defaultRowHeight="14.5"/>
  <cols>
    <col min="1" max="1" width="2.1796875" customWidth="1"/>
    <col min="2" max="2" width="18.54296875" customWidth="1"/>
    <col min="3" max="3" width="19.453125" customWidth="1"/>
    <col min="4" max="5" width="12.7265625" customWidth="1"/>
    <col min="6" max="6" width="9.453125" customWidth="1"/>
    <col min="7" max="7" width="15.54296875" customWidth="1"/>
    <col min="8" max="8" width="10.26953125" customWidth="1"/>
    <col min="9" max="9" width="9.1796875" customWidth="1"/>
    <col min="11" max="11" width="15.08984375" customWidth="1"/>
  </cols>
  <sheetData>
    <row r="1" spans="2:11" ht="8.25" customHeight="1"/>
    <row r="2" spans="2:11">
      <c r="B2" s="66" t="s">
        <v>674</v>
      </c>
      <c r="C2" s="66" t="s">
        <v>675</v>
      </c>
      <c r="D2" s="66" t="s">
        <v>676</v>
      </c>
      <c r="E2" s="66" t="s">
        <v>677</v>
      </c>
      <c r="G2" t="s">
        <v>678</v>
      </c>
    </row>
    <row r="3" spans="2:11">
      <c r="B3" s="56" t="s">
        <v>679</v>
      </c>
      <c r="C3" s="56" t="s">
        <v>680</v>
      </c>
      <c r="D3" s="56"/>
      <c r="E3" s="56"/>
      <c r="F3" t="s">
        <v>715</v>
      </c>
      <c r="G3" s="78" t="s">
        <v>716</v>
      </c>
      <c r="H3" s="79" t="s">
        <v>717</v>
      </c>
      <c r="K3" s="78"/>
    </row>
    <row r="4" spans="2:11">
      <c r="B4" s="56" t="s">
        <v>681</v>
      </c>
      <c r="C4" s="56" t="s">
        <v>682</v>
      </c>
      <c r="D4" s="56"/>
      <c r="E4" s="56"/>
      <c r="F4">
        <v>43.69</v>
      </c>
      <c r="G4" s="78">
        <v>44919</v>
      </c>
      <c r="H4" s="79">
        <v>0.33333333333333331</v>
      </c>
      <c r="K4" s="79"/>
    </row>
    <row r="5" spans="2:11" ht="29">
      <c r="B5" s="67" t="s">
        <v>683</v>
      </c>
      <c r="C5" s="56" t="s">
        <v>684</v>
      </c>
      <c r="D5" s="56"/>
      <c r="E5" s="56"/>
    </row>
    <row r="6" spans="2:11">
      <c r="B6" s="56" t="s">
        <v>685</v>
      </c>
      <c r="C6" s="56" t="s">
        <v>686</v>
      </c>
      <c r="D6" s="80"/>
      <c r="E6" s="80"/>
    </row>
    <row r="7" spans="2:11">
      <c r="B7" s="56" t="s">
        <v>687</v>
      </c>
      <c r="C7" s="56"/>
      <c r="D7" s="56"/>
      <c r="E7" s="56"/>
      <c r="F7" t="s">
        <v>688</v>
      </c>
    </row>
    <row r="8" spans="2:11">
      <c r="F8" s="81" t="s">
        <v>689</v>
      </c>
    </row>
    <row r="9" spans="2:11">
      <c r="B9" s="59" t="s">
        <v>690</v>
      </c>
      <c r="F9" t="s">
        <v>691</v>
      </c>
    </row>
    <row r="10" spans="2:11">
      <c r="B10" t="s">
        <v>692</v>
      </c>
    </row>
    <row r="11" spans="2:11">
      <c r="B11" t="s">
        <v>693</v>
      </c>
      <c r="F11" t="s">
        <v>694</v>
      </c>
    </row>
    <row r="13" spans="2:11">
      <c r="C13" s="66" t="s">
        <v>520</v>
      </c>
      <c r="G13" s="66" t="s">
        <v>520</v>
      </c>
    </row>
    <row r="14" spans="2:11">
      <c r="C14" s="56">
        <v>326.82</v>
      </c>
      <c r="D14" s="82" t="s">
        <v>695</v>
      </c>
      <c r="G14" s="83" t="s">
        <v>696</v>
      </c>
      <c r="H14" s="82" t="s">
        <v>697</v>
      </c>
    </row>
    <row r="15" spans="2:11">
      <c r="C15" s="56">
        <v>446.39</v>
      </c>
      <c r="G15" s="83" t="s">
        <v>698</v>
      </c>
    </row>
    <row r="16" spans="2:11">
      <c r="C16" s="56">
        <v>474.74</v>
      </c>
      <c r="G16" s="83" t="s">
        <v>699</v>
      </c>
    </row>
    <row r="17" spans="2:7">
      <c r="C17" s="56">
        <v>233.21</v>
      </c>
      <c r="G17" s="83" t="s">
        <v>700</v>
      </c>
    </row>
    <row r="18" spans="2:7">
      <c r="C18" s="56">
        <v>488.01</v>
      </c>
      <c r="G18" s="83" t="s">
        <v>701</v>
      </c>
    </row>
    <row r="19" spans="2:7">
      <c r="B19" t="s">
        <v>543</v>
      </c>
      <c r="C19" s="80">
        <f>SUM(C14:C18)</f>
        <v>1969.17</v>
      </c>
      <c r="F19" t="s">
        <v>543</v>
      </c>
      <c r="G19" s="80">
        <f>SUM(G14:G18)</f>
        <v>0</v>
      </c>
    </row>
    <row r="21" spans="2:7">
      <c r="E21" s="82" t="s">
        <v>702</v>
      </c>
    </row>
    <row r="24" spans="2:7">
      <c r="B24" t="s">
        <v>703</v>
      </c>
    </row>
    <row r="26" spans="2:7">
      <c r="B26" s="59" t="s">
        <v>704</v>
      </c>
    </row>
    <row r="28" spans="2:7">
      <c r="B28" s="60" t="s">
        <v>705</v>
      </c>
      <c r="C28" s="60" t="s">
        <v>706</v>
      </c>
      <c r="D28" s="60" t="s">
        <v>707</v>
      </c>
      <c r="E28" s="60" t="s">
        <v>708</v>
      </c>
      <c r="F28" s="60" t="s">
        <v>709</v>
      </c>
      <c r="G28" s="60" t="s">
        <v>710</v>
      </c>
    </row>
    <row r="29" spans="2:7">
      <c r="B29" s="84" t="s">
        <v>711</v>
      </c>
      <c r="C29" s="84"/>
      <c r="D29" s="84"/>
      <c r="E29" s="84"/>
      <c r="F29" s="84"/>
      <c r="G29" s="60">
        <v>159</v>
      </c>
    </row>
    <row r="30" spans="2:7">
      <c r="B30" s="85">
        <v>44566</v>
      </c>
      <c r="C30" s="56"/>
      <c r="D30" s="86"/>
      <c r="E30" s="56">
        <v>48</v>
      </c>
      <c r="F30" s="86">
        <v>25.5</v>
      </c>
      <c r="G30" s="80">
        <f>IF(ISNUMBER(B30),G29+C30-E30,"")</f>
        <v>111</v>
      </c>
    </row>
    <row r="31" spans="2:7">
      <c r="B31" s="85">
        <v>44567</v>
      </c>
      <c r="C31" s="83" t="s">
        <v>712</v>
      </c>
      <c r="D31" s="86">
        <v>11.55</v>
      </c>
      <c r="E31" s="56"/>
      <c r="F31" s="86"/>
      <c r="G31" s="80">
        <f t="shared" ref="G31:G36" si="0">IF(ISNUMBER(B31),G30+C31-E31,"")</f>
        <v>255</v>
      </c>
    </row>
    <row r="32" spans="2:7">
      <c r="B32" s="85">
        <v>44568</v>
      </c>
      <c r="C32" s="56"/>
      <c r="D32" s="86"/>
      <c r="E32" s="56">
        <v>190</v>
      </c>
      <c r="F32" s="86">
        <v>24.35</v>
      </c>
      <c r="G32" s="80">
        <f t="shared" si="0"/>
        <v>65</v>
      </c>
    </row>
    <row r="33" spans="2:7">
      <c r="B33" s="85">
        <v>44568</v>
      </c>
      <c r="C33" s="56">
        <v>39</v>
      </c>
      <c r="D33" s="86"/>
      <c r="E33" s="83" t="s">
        <v>713</v>
      </c>
      <c r="F33" s="86">
        <v>27</v>
      </c>
      <c r="G33" s="80">
        <f t="shared" si="0"/>
        <v>80</v>
      </c>
    </row>
    <row r="34" spans="2:7">
      <c r="B34" s="85">
        <v>44569</v>
      </c>
      <c r="C34" s="56">
        <v>192</v>
      </c>
      <c r="D34" s="86"/>
      <c r="E34" s="56"/>
      <c r="F34" s="86"/>
      <c r="G34" s="80">
        <f t="shared" si="0"/>
        <v>272</v>
      </c>
    </row>
    <row r="35" spans="2:7">
      <c r="B35" s="56"/>
      <c r="C35" s="56"/>
      <c r="D35" s="86"/>
      <c r="E35" s="56"/>
      <c r="F35" s="86"/>
      <c r="G35" s="80" t="str">
        <f t="shared" si="0"/>
        <v/>
      </c>
    </row>
    <row r="36" spans="2:7">
      <c r="B36" s="56"/>
      <c r="C36" s="56"/>
      <c r="D36" s="86"/>
      <c r="E36" s="56"/>
      <c r="F36" s="86"/>
      <c r="G36" s="80" t="str">
        <f t="shared" si="0"/>
        <v/>
      </c>
    </row>
    <row r="38" spans="2:7">
      <c r="C38" s="60" t="s">
        <v>714</v>
      </c>
    </row>
    <row r="39" spans="2:7">
      <c r="C39" s="80">
        <f>SUM(C30:C36)</f>
        <v>231</v>
      </c>
    </row>
  </sheetData>
  <conditionalFormatting sqref="D14 H14 E21">
    <cfRule type="expression" dxfId="0" priority="1">
      <formula>$G$19=""</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77B24-E46E-4A2E-B69A-B896B5131F10}">
  <sheetPr>
    <tabColor rgb="FF0000FF"/>
  </sheetPr>
  <dimension ref="B35:L235"/>
  <sheetViews>
    <sheetView zoomScale="113" zoomScaleNormal="85" workbookViewId="0">
      <selection activeCell="F14" sqref="F14"/>
    </sheetView>
  </sheetViews>
  <sheetFormatPr defaultRowHeight="14.5"/>
  <cols>
    <col min="2" max="2" width="13.54296875" customWidth="1"/>
    <col min="4" max="4" width="13.81640625" customWidth="1"/>
    <col min="6" max="6" width="105.26953125" customWidth="1"/>
  </cols>
  <sheetData>
    <row r="35" spans="2:6" ht="15.5">
      <c r="B35" s="69" t="s">
        <v>599</v>
      </c>
      <c r="D35" s="69" t="s">
        <v>543</v>
      </c>
      <c r="F35" s="70" t="s">
        <v>600</v>
      </c>
    </row>
    <row r="36" spans="2:6">
      <c r="B36" s="71">
        <v>1145.19</v>
      </c>
      <c r="D36" s="72"/>
      <c r="F36" s="73" t="s">
        <v>601</v>
      </c>
    </row>
    <row r="37" spans="2:6">
      <c r="B37" s="71">
        <v>19.95</v>
      </c>
      <c r="F37" s="56" t="s">
        <v>602</v>
      </c>
    </row>
    <row r="38" spans="2:6">
      <c r="B38" s="71">
        <v>21.95</v>
      </c>
      <c r="F38" s="56" t="s">
        <v>603</v>
      </c>
    </row>
    <row r="39" spans="2:6">
      <c r="B39" s="71">
        <v>1219.95</v>
      </c>
      <c r="F39" s="56" t="s">
        <v>604</v>
      </c>
    </row>
    <row r="40" spans="2:6">
      <c r="B40" s="71">
        <v>79.8</v>
      </c>
      <c r="F40" s="56" t="s">
        <v>605</v>
      </c>
    </row>
    <row r="41" spans="2:6">
      <c r="B41" s="71">
        <v>79.8</v>
      </c>
      <c r="F41" s="56" t="s">
        <v>606</v>
      </c>
    </row>
    <row r="42" spans="2:6">
      <c r="B42" s="71">
        <v>59.849999999999994</v>
      </c>
      <c r="F42" s="70" t="s">
        <v>607</v>
      </c>
    </row>
    <row r="43" spans="2:6" ht="29">
      <c r="B43" s="71">
        <v>139.65</v>
      </c>
      <c r="F43" s="74" t="s">
        <v>608</v>
      </c>
    </row>
    <row r="44" spans="2:6" ht="29">
      <c r="B44" s="71">
        <v>119.69999999999999</v>
      </c>
      <c r="F44" s="67" t="s">
        <v>609</v>
      </c>
    </row>
    <row r="45" spans="2:6" ht="43.5">
      <c r="B45" s="71">
        <v>1743.9</v>
      </c>
      <c r="F45" s="67" t="s">
        <v>610</v>
      </c>
    </row>
    <row r="46" spans="2:6" ht="29">
      <c r="B46" s="71">
        <v>43.9</v>
      </c>
      <c r="F46" s="67" t="s">
        <v>611</v>
      </c>
    </row>
    <row r="47" spans="2:6" ht="29">
      <c r="B47" s="71">
        <v>99.75</v>
      </c>
      <c r="F47" s="67" t="s">
        <v>612</v>
      </c>
    </row>
    <row r="48" spans="2:6">
      <c r="B48" s="71">
        <v>114.75</v>
      </c>
      <c r="F48" s="70" t="s">
        <v>613</v>
      </c>
    </row>
    <row r="49" spans="2:6" ht="43.5">
      <c r="B49" s="56">
        <v>91.8</v>
      </c>
      <c r="F49" s="74" t="s">
        <v>614</v>
      </c>
    </row>
    <row r="50" spans="2:6" ht="43.5">
      <c r="B50" s="56">
        <v>114.75</v>
      </c>
      <c r="F50" s="67" t="s">
        <v>615</v>
      </c>
    </row>
    <row r="51" spans="2:6" ht="43.5">
      <c r="B51" s="56">
        <v>22.95</v>
      </c>
      <c r="F51" s="67" t="s">
        <v>616</v>
      </c>
    </row>
    <row r="52" spans="2:6">
      <c r="B52" s="56">
        <v>124.75</v>
      </c>
      <c r="F52" s="70" t="s">
        <v>617</v>
      </c>
    </row>
    <row r="53" spans="2:6">
      <c r="B53" s="56">
        <v>19.95</v>
      </c>
      <c r="F53" s="74" t="s">
        <v>618</v>
      </c>
    </row>
    <row r="54" spans="2:6" ht="29">
      <c r="B54" s="56">
        <v>87.8</v>
      </c>
      <c r="F54" s="67" t="s">
        <v>619</v>
      </c>
    </row>
    <row r="55" spans="2:6" ht="29">
      <c r="B55" s="56">
        <v>22.95</v>
      </c>
      <c r="F55" s="67" t="s">
        <v>620</v>
      </c>
    </row>
    <row r="56" spans="2:6" ht="29">
      <c r="B56" s="56">
        <v>299.5</v>
      </c>
      <c r="F56" s="67" t="s">
        <v>621</v>
      </c>
    </row>
    <row r="57" spans="2:6" ht="43.5">
      <c r="B57" s="56">
        <v>19.95</v>
      </c>
      <c r="F57" s="67" t="s">
        <v>622</v>
      </c>
    </row>
    <row r="58" spans="2:6">
      <c r="B58" s="56">
        <v>99.75</v>
      </c>
      <c r="F58" s="70" t="s">
        <v>623</v>
      </c>
    </row>
    <row r="59" spans="2:6">
      <c r="B59" s="56">
        <v>39.9</v>
      </c>
      <c r="F59" s="75" t="s">
        <v>624</v>
      </c>
    </row>
    <row r="60" spans="2:6">
      <c r="B60" s="56">
        <v>65.849999999999994</v>
      </c>
      <c r="F60" s="76" t="s">
        <v>625</v>
      </c>
    </row>
    <row r="61" spans="2:6">
      <c r="B61" s="56">
        <v>24.95</v>
      </c>
      <c r="F61" s="76" t="s">
        <v>626</v>
      </c>
    </row>
    <row r="62" spans="2:6">
      <c r="B62" s="56">
        <v>21.95</v>
      </c>
      <c r="F62" s="76" t="s">
        <v>627</v>
      </c>
    </row>
    <row r="63" spans="2:6">
      <c r="B63" s="56">
        <v>19.95</v>
      </c>
      <c r="F63" s="76" t="s">
        <v>628</v>
      </c>
    </row>
    <row r="64" spans="2:6">
      <c r="B64" s="56">
        <v>91.8</v>
      </c>
      <c r="F64" s="76" t="s">
        <v>629</v>
      </c>
    </row>
    <row r="65" spans="2:6">
      <c r="B65" s="56">
        <v>65.849999999999994</v>
      </c>
      <c r="F65" s="76" t="s">
        <v>630</v>
      </c>
    </row>
    <row r="66" spans="2:6">
      <c r="B66" s="56">
        <v>39.9</v>
      </c>
      <c r="F66" s="76" t="s">
        <v>631</v>
      </c>
    </row>
    <row r="67" spans="2:6">
      <c r="B67" s="56">
        <v>43.9</v>
      </c>
      <c r="F67" s="76" t="s">
        <v>632</v>
      </c>
    </row>
    <row r="68" spans="2:6">
      <c r="B68" s="56">
        <v>65.849999999999994</v>
      </c>
      <c r="F68" s="76" t="s">
        <v>633</v>
      </c>
    </row>
    <row r="69" spans="2:6">
      <c r="B69" s="56">
        <v>43.9</v>
      </c>
      <c r="F69" s="76" t="s">
        <v>634</v>
      </c>
    </row>
    <row r="70" spans="2:6">
      <c r="B70" s="56">
        <v>99.75</v>
      </c>
      <c r="F70" s="76" t="s">
        <v>635</v>
      </c>
    </row>
    <row r="71" spans="2:6">
      <c r="B71" s="56">
        <v>29.95</v>
      </c>
      <c r="F71" s="76" t="s">
        <v>636</v>
      </c>
    </row>
    <row r="72" spans="2:6">
      <c r="B72" s="56">
        <v>65.849999999999994</v>
      </c>
      <c r="F72" s="76" t="s">
        <v>637</v>
      </c>
    </row>
    <row r="73" spans="2:6">
      <c r="B73" s="56">
        <v>22.95</v>
      </c>
      <c r="F73" s="76" t="s">
        <v>638</v>
      </c>
    </row>
    <row r="74" spans="2:6">
      <c r="B74" s="56">
        <v>19.95</v>
      </c>
      <c r="F74" s="76" t="s">
        <v>639</v>
      </c>
    </row>
    <row r="75" spans="2:6">
      <c r="B75" s="56">
        <v>99.75</v>
      </c>
      <c r="F75" s="76" t="s">
        <v>640</v>
      </c>
    </row>
    <row r="76" spans="2:6">
      <c r="B76" s="56">
        <v>124.75</v>
      </c>
      <c r="F76" s="76" t="s">
        <v>641</v>
      </c>
    </row>
    <row r="77" spans="2:6">
      <c r="B77" s="56">
        <v>21.95</v>
      </c>
      <c r="F77" s="56" t="s">
        <v>642</v>
      </c>
    </row>
    <row r="78" spans="2:6">
      <c r="B78" s="56">
        <v>174.65</v>
      </c>
      <c r="F78" s="70" t="s">
        <v>643</v>
      </c>
    </row>
    <row r="79" spans="2:6">
      <c r="B79" s="56">
        <v>29.95</v>
      </c>
      <c r="F79" s="76" t="s">
        <v>644</v>
      </c>
    </row>
    <row r="80" spans="2:6">
      <c r="B80" s="56">
        <v>149.75</v>
      </c>
      <c r="F80" s="67" t="s">
        <v>645</v>
      </c>
    </row>
    <row r="81" spans="2:6">
      <c r="B81" s="56">
        <v>29.95</v>
      </c>
      <c r="F81" s="70" t="s">
        <v>646</v>
      </c>
    </row>
    <row r="82" spans="2:6">
      <c r="B82" s="56">
        <v>45.9</v>
      </c>
      <c r="F82" s="76" t="s">
        <v>647</v>
      </c>
    </row>
    <row r="83" spans="2:6">
      <c r="B83" s="56">
        <v>160.65</v>
      </c>
      <c r="F83" s="76" t="s">
        <v>648</v>
      </c>
    </row>
    <row r="84" spans="2:6">
      <c r="B84" s="56">
        <v>160.65</v>
      </c>
      <c r="F84" s="76" t="s">
        <v>649</v>
      </c>
    </row>
    <row r="85" spans="2:6">
      <c r="B85" s="56">
        <v>119.69999999999999</v>
      </c>
      <c r="F85" s="76" t="s">
        <v>650</v>
      </c>
    </row>
    <row r="86" spans="2:6">
      <c r="B86" s="56">
        <v>43.9</v>
      </c>
      <c r="F86" s="76" t="s">
        <v>651</v>
      </c>
    </row>
    <row r="87" spans="2:6">
      <c r="B87" s="56">
        <v>119.69999999999999</v>
      </c>
      <c r="F87" s="76" t="s">
        <v>652</v>
      </c>
    </row>
    <row r="88" spans="2:6">
      <c r="B88" s="56">
        <v>65.849999999999994</v>
      </c>
      <c r="F88" s="76" t="s">
        <v>653</v>
      </c>
    </row>
    <row r="89" spans="2:6">
      <c r="B89" s="56">
        <v>22.95</v>
      </c>
      <c r="F89" s="58" t="s">
        <v>654</v>
      </c>
    </row>
    <row r="90" spans="2:6">
      <c r="B90" s="56">
        <v>65.849999999999994</v>
      </c>
      <c r="F90" s="58" t="s">
        <v>655</v>
      </c>
    </row>
    <row r="91" spans="2:6">
      <c r="B91" s="56">
        <v>109.75</v>
      </c>
      <c r="F91" s="76" t="s">
        <v>656</v>
      </c>
    </row>
    <row r="92" spans="2:6">
      <c r="B92" s="56">
        <v>114.75</v>
      </c>
      <c r="F92" s="76" t="s">
        <v>657</v>
      </c>
    </row>
    <row r="93" spans="2:6">
      <c r="B93" s="56">
        <v>249.5</v>
      </c>
      <c r="F93" s="76" t="s">
        <v>658</v>
      </c>
    </row>
    <row r="94" spans="2:6">
      <c r="B94" s="56">
        <v>109.75</v>
      </c>
      <c r="F94" s="76" t="s">
        <v>659</v>
      </c>
    </row>
    <row r="95" spans="2:6">
      <c r="B95" s="56">
        <v>114.75</v>
      </c>
      <c r="F95" s="76" t="s">
        <v>660</v>
      </c>
    </row>
    <row r="96" spans="2:6">
      <c r="B96" s="56">
        <v>114.75</v>
      </c>
      <c r="F96" s="76" t="s">
        <v>626</v>
      </c>
    </row>
    <row r="97" spans="2:12">
      <c r="B97" s="56">
        <v>119.8</v>
      </c>
      <c r="F97" s="76" t="s">
        <v>661</v>
      </c>
    </row>
    <row r="98" spans="2:12">
      <c r="B98" s="56">
        <v>29.95</v>
      </c>
      <c r="F98" s="76" t="s">
        <v>662</v>
      </c>
    </row>
    <row r="99" spans="2:12">
      <c r="B99" s="56">
        <v>114.75</v>
      </c>
      <c r="F99" s="76" t="s">
        <v>663</v>
      </c>
      <c r="L99" s="59"/>
    </row>
    <row r="100" spans="2:12">
      <c r="B100" s="56">
        <v>209.65</v>
      </c>
      <c r="F100" s="67" t="s">
        <v>664</v>
      </c>
    </row>
    <row r="101" spans="2:12">
      <c r="B101" s="56">
        <v>114.75</v>
      </c>
      <c r="F101" s="67" t="s">
        <v>665</v>
      </c>
    </row>
    <row r="102" spans="2:12">
      <c r="B102" s="56">
        <v>59.849999999999994</v>
      </c>
      <c r="F102" s="67" t="s">
        <v>666</v>
      </c>
    </row>
    <row r="103" spans="2:12" ht="29">
      <c r="B103" s="56">
        <v>124.75</v>
      </c>
      <c r="F103" s="67" t="s">
        <v>667</v>
      </c>
    </row>
    <row r="104" spans="2:12">
      <c r="B104" s="56">
        <v>39.9</v>
      </c>
      <c r="F104" s="76" t="s">
        <v>668</v>
      </c>
    </row>
    <row r="105" spans="2:12">
      <c r="B105" s="56">
        <v>124.75</v>
      </c>
      <c r="F105" s="76" t="s">
        <v>669</v>
      </c>
    </row>
    <row r="106" spans="2:12">
      <c r="B106" s="56">
        <v>24.95</v>
      </c>
      <c r="F106" s="76" t="s">
        <v>670</v>
      </c>
    </row>
    <row r="107" spans="2:12">
      <c r="B107" s="56">
        <v>22.95</v>
      </c>
      <c r="F107" s="76" t="s">
        <v>671</v>
      </c>
    </row>
    <row r="108" spans="2:12">
      <c r="B108" s="56">
        <v>249.5</v>
      </c>
      <c r="F108" s="77" t="s">
        <v>672</v>
      </c>
    </row>
    <row r="109" spans="2:12">
      <c r="B109" s="56">
        <v>59.849999999999994</v>
      </c>
      <c r="F109" s="76" t="s">
        <v>673</v>
      </c>
    </row>
    <row r="110" spans="2:12">
      <c r="B110" s="56">
        <v>43.9</v>
      </c>
    </row>
    <row r="111" spans="2:12">
      <c r="B111" s="56">
        <v>19.95</v>
      </c>
    </row>
    <row r="112" spans="2:12">
      <c r="B112" s="56">
        <v>29.95</v>
      </c>
    </row>
    <row r="113" spans="2:2">
      <c r="B113" s="56">
        <v>19.95</v>
      </c>
    </row>
    <row r="114" spans="2:2">
      <c r="B114" s="56">
        <v>65.849999999999994</v>
      </c>
    </row>
    <row r="115" spans="2:2">
      <c r="B115" s="56">
        <v>22.95</v>
      </c>
    </row>
    <row r="116" spans="2:2">
      <c r="B116" s="56">
        <v>79.8</v>
      </c>
    </row>
    <row r="117" spans="2:2">
      <c r="B117" s="56">
        <v>79.8</v>
      </c>
    </row>
    <row r="118" spans="2:2">
      <c r="B118" s="56">
        <v>114.75</v>
      </c>
    </row>
    <row r="119" spans="2:2">
      <c r="B119" s="56">
        <v>22.95</v>
      </c>
    </row>
    <row r="120" spans="2:2">
      <c r="B120" s="56">
        <v>19.95</v>
      </c>
    </row>
    <row r="121" spans="2:2">
      <c r="B121" s="56">
        <v>109.75</v>
      </c>
    </row>
    <row r="122" spans="2:2">
      <c r="B122" s="56">
        <v>59.9</v>
      </c>
    </row>
    <row r="123" spans="2:2">
      <c r="B123" s="56">
        <v>43.9</v>
      </c>
    </row>
    <row r="124" spans="2:2">
      <c r="B124" s="56">
        <v>39.9</v>
      </c>
    </row>
    <row r="125" spans="2:2">
      <c r="B125" s="56">
        <v>209.65</v>
      </c>
    </row>
    <row r="126" spans="2:2">
      <c r="B126" s="56">
        <v>19.95</v>
      </c>
    </row>
    <row r="127" spans="2:2">
      <c r="B127" s="56">
        <v>79.8</v>
      </c>
    </row>
    <row r="128" spans="2:2">
      <c r="B128" s="56">
        <v>124.75</v>
      </c>
    </row>
    <row r="129" spans="2:2">
      <c r="B129" s="56">
        <v>24.95</v>
      </c>
    </row>
    <row r="130" spans="2:2">
      <c r="B130" s="56">
        <v>160.65</v>
      </c>
    </row>
    <row r="131" spans="2:2">
      <c r="B131" s="56">
        <v>65.849999999999994</v>
      </c>
    </row>
    <row r="132" spans="2:2">
      <c r="B132" s="56">
        <v>137.69999999999999</v>
      </c>
    </row>
    <row r="133" spans="2:2">
      <c r="B133" s="56">
        <v>29.95</v>
      </c>
    </row>
    <row r="134" spans="2:2">
      <c r="B134" s="56">
        <v>119.69999999999999</v>
      </c>
    </row>
    <row r="135" spans="2:2">
      <c r="B135" s="56">
        <v>19.95</v>
      </c>
    </row>
    <row r="136" spans="2:2">
      <c r="B136" s="56">
        <v>39.9</v>
      </c>
    </row>
    <row r="137" spans="2:2">
      <c r="B137" s="56">
        <v>114.75</v>
      </c>
    </row>
    <row r="138" spans="2:2">
      <c r="B138" s="56">
        <v>21.95</v>
      </c>
    </row>
    <row r="139" spans="2:2">
      <c r="B139" s="56">
        <v>179.7</v>
      </c>
    </row>
    <row r="140" spans="2:2">
      <c r="B140" s="56">
        <v>39.9</v>
      </c>
    </row>
    <row r="141" spans="2:2">
      <c r="B141" s="56">
        <v>24.95</v>
      </c>
    </row>
    <row r="142" spans="2:2">
      <c r="B142" s="56">
        <v>99.8</v>
      </c>
    </row>
    <row r="143" spans="2:2">
      <c r="B143" s="56">
        <v>87.8</v>
      </c>
    </row>
    <row r="144" spans="2:2">
      <c r="B144" s="56">
        <v>39.9</v>
      </c>
    </row>
    <row r="145" spans="2:2">
      <c r="B145" s="56">
        <v>65.849999999999994</v>
      </c>
    </row>
    <row r="146" spans="2:2">
      <c r="B146" s="56">
        <v>199.5</v>
      </c>
    </row>
    <row r="147" spans="2:2">
      <c r="B147" s="56">
        <v>21.95</v>
      </c>
    </row>
    <row r="148" spans="2:2">
      <c r="B148" s="56">
        <v>124.75</v>
      </c>
    </row>
    <row r="149" spans="2:2">
      <c r="B149" s="56">
        <v>29.95</v>
      </c>
    </row>
    <row r="150" spans="2:2">
      <c r="B150" s="56">
        <v>21.95</v>
      </c>
    </row>
    <row r="151" spans="2:2">
      <c r="B151" s="56">
        <v>119.8</v>
      </c>
    </row>
    <row r="152" spans="2:2">
      <c r="B152" s="56">
        <v>89.85</v>
      </c>
    </row>
    <row r="153" spans="2:2">
      <c r="B153" s="56">
        <v>65.849999999999994</v>
      </c>
    </row>
    <row r="154" spans="2:2">
      <c r="B154" s="56">
        <v>91.8</v>
      </c>
    </row>
    <row r="155" spans="2:2">
      <c r="B155" s="56">
        <v>149.69999999999999</v>
      </c>
    </row>
    <row r="156" spans="2:2">
      <c r="B156" s="56">
        <v>59.849999999999994</v>
      </c>
    </row>
    <row r="157" spans="2:2">
      <c r="B157" s="56">
        <v>131.69999999999999</v>
      </c>
    </row>
    <row r="158" spans="2:2">
      <c r="B158" s="56">
        <v>49.9</v>
      </c>
    </row>
    <row r="159" spans="2:2">
      <c r="B159" s="56">
        <v>43.9</v>
      </c>
    </row>
    <row r="160" spans="2:2">
      <c r="B160" s="56">
        <v>19.95</v>
      </c>
    </row>
    <row r="161" spans="2:2">
      <c r="B161" s="56">
        <v>21.95</v>
      </c>
    </row>
    <row r="162" spans="2:2">
      <c r="B162" s="56">
        <v>24.95</v>
      </c>
    </row>
    <row r="163" spans="2:2">
      <c r="B163" s="56">
        <v>39.9</v>
      </c>
    </row>
    <row r="164" spans="2:2">
      <c r="B164" s="56">
        <v>24.95</v>
      </c>
    </row>
    <row r="165" spans="2:2">
      <c r="B165" s="56">
        <v>114.75</v>
      </c>
    </row>
    <row r="166" spans="2:2">
      <c r="B166" s="56">
        <v>119.69999999999999</v>
      </c>
    </row>
    <row r="167" spans="2:2">
      <c r="B167" s="56">
        <v>43.9</v>
      </c>
    </row>
    <row r="168" spans="2:2">
      <c r="B168" s="56">
        <v>24.95</v>
      </c>
    </row>
    <row r="169" spans="2:2">
      <c r="B169" s="56">
        <v>174.65</v>
      </c>
    </row>
    <row r="170" spans="2:2">
      <c r="B170" s="56">
        <v>24.95</v>
      </c>
    </row>
    <row r="171" spans="2:2">
      <c r="B171" s="56">
        <v>49.9</v>
      </c>
    </row>
    <row r="172" spans="2:2">
      <c r="B172" s="56">
        <v>19.95</v>
      </c>
    </row>
    <row r="173" spans="2:2">
      <c r="B173" s="56">
        <v>39.9</v>
      </c>
    </row>
    <row r="174" spans="2:2">
      <c r="B174" s="56">
        <v>45.9</v>
      </c>
    </row>
    <row r="175" spans="2:2">
      <c r="B175" s="56">
        <v>179.7</v>
      </c>
    </row>
    <row r="176" spans="2:2">
      <c r="B176" s="56">
        <v>160.65</v>
      </c>
    </row>
    <row r="177" spans="2:2">
      <c r="B177" s="56">
        <v>21.95</v>
      </c>
    </row>
    <row r="178" spans="2:2">
      <c r="B178" s="56">
        <v>124.75</v>
      </c>
    </row>
    <row r="179" spans="2:2">
      <c r="B179" s="56">
        <v>89.85</v>
      </c>
    </row>
    <row r="180" spans="2:2">
      <c r="B180" s="56">
        <v>49.9</v>
      </c>
    </row>
    <row r="181" spans="2:2">
      <c r="B181" s="56">
        <v>22.95</v>
      </c>
    </row>
    <row r="182" spans="2:2">
      <c r="B182" s="56">
        <v>19.95</v>
      </c>
    </row>
    <row r="183" spans="2:2">
      <c r="B183" s="56">
        <v>99.75</v>
      </c>
    </row>
    <row r="184" spans="2:2">
      <c r="B184" s="56">
        <v>91.8</v>
      </c>
    </row>
    <row r="185" spans="2:2">
      <c r="B185" s="56">
        <v>49.9</v>
      </c>
    </row>
    <row r="186" spans="2:2">
      <c r="B186" s="56">
        <v>21.95</v>
      </c>
    </row>
    <row r="187" spans="2:2">
      <c r="B187" s="56">
        <v>45.9</v>
      </c>
    </row>
    <row r="188" spans="2:2">
      <c r="B188" s="56">
        <v>22.95</v>
      </c>
    </row>
    <row r="189" spans="2:2">
      <c r="B189" s="56">
        <v>45.9</v>
      </c>
    </row>
    <row r="190" spans="2:2">
      <c r="B190" s="56">
        <v>24.95</v>
      </c>
    </row>
    <row r="191" spans="2:2">
      <c r="B191" s="56">
        <v>39.9</v>
      </c>
    </row>
    <row r="192" spans="2:2">
      <c r="B192" s="56">
        <v>179.7</v>
      </c>
    </row>
    <row r="193" spans="2:2">
      <c r="B193" s="56">
        <v>21.95</v>
      </c>
    </row>
    <row r="194" spans="2:2">
      <c r="B194" s="56">
        <v>24.95</v>
      </c>
    </row>
    <row r="195" spans="2:2">
      <c r="B195" s="56">
        <v>74.849999999999994</v>
      </c>
    </row>
    <row r="196" spans="2:2">
      <c r="B196" s="56">
        <v>79.8</v>
      </c>
    </row>
    <row r="197" spans="2:2">
      <c r="B197" s="56">
        <v>19.95</v>
      </c>
    </row>
    <row r="198" spans="2:2">
      <c r="B198" s="56">
        <v>22.95</v>
      </c>
    </row>
    <row r="199" spans="2:2">
      <c r="B199" s="56">
        <v>45.9</v>
      </c>
    </row>
    <row r="200" spans="2:2">
      <c r="B200" s="56">
        <v>65.849999999999994</v>
      </c>
    </row>
    <row r="201" spans="2:2">
      <c r="B201" s="56">
        <v>139.65</v>
      </c>
    </row>
    <row r="202" spans="2:2">
      <c r="B202" s="56">
        <v>22.95</v>
      </c>
    </row>
    <row r="203" spans="2:2">
      <c r="B203" s="56">
        <v>39.9</v>
      </c>
    </row>
    <row r="204" spans="2:2">
      <c r="B204" s="56">
        <v>109.75</v>
      </c>
    </row>
    <row r="205" spans="2:2">
      <c r="B205" s="56">
        <v>160.65</v>
      </c>
    </row>
    <row r="206" spans="2:2">
      <c r="B206" s="56">
        <v>49.9</v>
      </c>
    </row>
    <row r="207" spans="2:2">
      <c r="B207" s="56">
        <v>22.95</v>
      </c>
    </row>
    <row r="208" spans="2:2">
      <c r="B208" s="56">
        <v>45.9</v>
      </c>
    </row>
    <row r="209" spans="2:2">
      <c r="B209" s="56">
        <v>68.849999999999994</v>
      </c>
    </row>
    <row r="210" spans="2:2">
      <c r="B210" s="56">
        <v>229.5</v>
      </c>
    </row>
    <row r="211" spans="2:2">
      <c r="B211" s="56">
        <v>29.95</v>
      </c>
    </row>
    <row r="212" spans="2:2">
      <c r="B212" s="56">
        <v>39.9</v>
      </c>
    </row>
    <row r="213" spans="2:2">
      <c r="B213" s="56">
        <v>43.9</v>
      </c>
    </row>
    <row r="214" spans="2:2">
      <c r="B214" s="56">
        <v>19.95</v>
      </c>
    </row>
    <row r="215" spans="2:2">
      <c r="B215" s="56">
        <v>59.9</v>
      </c>
    </row>
    <row r="216" spans="2:2">
      <c r="B216" s="56">
        <v>99.75</v>
      </c>
    </row>
    <row r="217" spans="2:2">
      <c r="B217" s="56">
        <v>174.65</v>
      </c>
    </row>
    <row r="218" spans="2:2">
      <c r="B218" s="56">
        <v>65.849999999999994</v>
      </c>
    </row>
    <row r="219" spans="2:2">
      <c r="B219" s="56">
        <v>124.75</v>
      </c>
    </row>
    <row r="220" spans="2:2">
      <c r="B220" s="56">
        <v>87.8</v>
      </c>
    </row>
    <row r="221" spans="2:2">
      <c r="B221" s="56">
        <v>229.5</v>
      </c>
    </row>
    <row r="222" spans="2:2">
      <c r="B222" s="56">
        <v>99.75</v>
      </c>
    </row>
    <row r="223" spans="2:2">
      <c r="B223" s="56">
        <v>19.95</v>
      </c>
    </row>
    <row r="224" spans="2:2">
      <c r="B224" s="56">
        <v>19.95</v>
      </c>
    </row>
    <row r="225" spans="2:2">
      <c r="B225" s="56">
        <v>99.8</v>
      </c>
    </row>
    <row r="226" spans="2:2">
      <c r="B226" s="56">
        <v>24.95</v>
      </c>
    </row>
    <row r="227" spans="2:2">
      <c r="B227" s="56">
        <v>114.75</v>
      </c>
    </row>
    <row r="228" spans="2:2">
      <c r="B228" s="56">
        <v>59.849999999999994</v>
      </c>
    </row>
    <row r="229" spans="2:2">
      <c r="B229" s="56">
        <v>43.9</v>
      </c>
    </row>
    <row r="230" spans="2:2">
      <c r="B230" s="56">
        <v>74.849999999999994</v>
      </c>
    </row>
    <row r="231" spans="2:2">
      <c r="B231" s="56">
        <v>19.95</v>
      </c>
    </row>
    <row r="232" spans="2:2">
      <c r="B232" s="56">
        <v>22.95</v>
      </c>
    </row>
    <row r="233" spans="2:2">
      <c r="B233" s="56">
        <v>153.65</v>
      </c>
    </row>
    <row r="234" spans="2:2">
      <c r="B234" s="56">
        <v>39.9</v>
      </c>
    </row>
    <row r="235" spans="2:2">
      <c r="B235" s="56">
        <v>131.69999999999999</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1553B-EAE4-4BA9-B9E2-03BA73B48B44}">
  <dimension ref="A1:AC265"/>
  <sheetViews>
    <sheetView showGridLines="0" topLeftCell="A19" zoomScale="85" zoomScaleNormal="85" workbookViewId="0">
      <selection activeCell="B25" sqref="B25"/>
    </sheetView>
  </sheetViews>
  <sheetFormatPr defaultColWidth="10" defaultRowHeight="14.5"/>
  <cols>
    <col min="1" max="1" width="39.1796875" style="10" customWidth="1"/>
    <col min="2" max="2" width="24.26953125" style="10" customWidth="1"/>
    <col min="3" max="5" width="10" style="2"/>
    <col min="6" max="6" width="16" style="2" customWidth="1"/>
    <col min="7" max="10" width="10" style="2"/>
    <col min="11" max="11" width="33.7265625" style="2" customWidth="1"/>
    <col min="12" max="12" width="27.7265625" style="2" customWidth="1"/>
    <col min="13" max="13" width="20.26953125" style="2" customWidth="1"/>
    <col min="14" max="15" width="10" style="2"/>
    <col min="16" max="16" width="16.54296875" style="2" customWidth="1"/>
    <col min="17" max="17" width="22.26953125" style="2" customWidth="1"/>
    <col min="18" max="20" width="10" style="2"/>
    <col min="21" max="21" width="22.453125" style="2" customWidth="1"/>
    <col min="22" max="23" width="10" style="2"/>
    <col min="24" max="24" width="18.26953125" style="2" customWidth="1"/>
    <col min="25" max="16384" width="10" style="2"/>
  </cols>
  <sheetData>
    <row r="1" spans="1:29" ht="21">
      <c r="A1" s="107" t="s">
        <v>0</v>
      </c>
      <c r="B1" s="107"/>
    </row>
    <row r="2" spans="1:29" ht="17.5">
      <c r="A2" s="3" t="s">
        <v>1</v>
      </c>
      <c r="B2" s="3" t="s">
        <v>2</v>
      </c>
      <c r="E2" s="108" t="s">
        <v>3</v>
      </c>
      <c r="F2" s="108"/>
      <c r="G2" s="108"/>
      <c r="H2" s="108"/>
      <c r="I2" s="108"/>
    </row>
    <row r="3" spans="1:29">
      <c r="A3" s="4" t="s">
        <v>4</v>
      </c>
      <c r="B3" s="4" t="s">
        <v>5</v>
      </c>
    </row>
    <row r="4" spans="1:29" ht="17">
      <c r="A4" s="4" t="s">
        <v>6</v>
      </c>
      <c r="B4" s="4" t="s">
        <v>7</v>
      </c>
      <c r="K4" s="109" t="s">
        <v>8</v>
      </c>
      <c r="L4" s="109"/>
      <c r="M4" s="109"/>
      <c r="N4" s="109"/>
      <c r="P4" s="109" t="s">
        <v>9</v>
      </c>
      <c r="Q4" s="109"/>
      <c r="R4" s="109"/>
      <c r="S4" s="109"/>
      <c r="U4" s="5" t="s">
        <v>10</v>
      </c>
      <c r="V4" s="5" t="s">
        <v>10</v>
      </c>
      <c r="W4" s="5" t="s">
        <v>10</v>
      </c>
      <c r="X4" s="5" t="s">
        <v>10</v>
      </c>
    </row>
    <row r="5" spans="1:29">
      <c r="A5" s="4" t="s">
        <v>11</v>
      </c>
      <c r="B5" s="4" t="s">
        <v>12</v>
      </c>
    </row>
    <row r="6" spans="1:29" ht="16.5">
      <c r="A6" s="4" t="s">
        <v>13</v>
      </c>
      <c r="B6" s="4" t="s">
        <v>14</v>
      </c>
      <c r="F6" s="2" t="s">
        <v>15</v>
      </c>
      <c r="K6" s="6" t="s">
        <v>16</v>
      </c>
      <c r="L6" s="6" t="s">
        <v>17</v>
      </c>
      <c r="M6" s="6" t="s">
        <v>18</v>
      </c>
      <c r="N6" s="6" t="s">
        <v>19</v>
      </c>
      <c r="P6" s="7" t="s">
        <v>16</v>
      </c>
      <c r="Q6" s="7" t="s">
        <v>17</v>
      </c>
      <c r="R6" s="7" t="s">
        <v>18</v>
      </c>
      <c r="S6" s="7" t="s">
        <v>19</v>
      </c>
    </row>
    <row r="7" spans="1:29" ht="16.5">
      <c r="A7" s="4" t="s">
        <v>20</v>
      </c>
      <c r="B7" s="4" t="s">
        <v>21</v>
      </c>
      <c r="F7" s="2" t="s">
        <v>22</v>
      </c>
      <c r="K7" s="8" t="s">
        <v>23</v>
      </c>
      <c r="L7" s="8" t="s">
        <v>24</v>
      </c>
      <c r="M7" s="8">
        <v>125000</v>
      </c>
      <c r="N7" s="8" t="s">
        <v>25</v>
      </c>
      <c r="P7" s="5" t="s">
        <v>23</v>
      </c>
      <c r="Q7" s="9" t="s">
        <v>24</v>
      </c>
      <c r="R7" s="5">
        <v>125000</v>
      </c>
      <c r="S7" s="9" t="s">
        <v>25</v>
      </c>
    </row>
    <row r="8" spans="1:29" ht="16.5">
      <c r="A8" s="4" t="s">
        <v>26</v>
      </c>
      <c r="B8" s="4" t="s">
        <v>27</v>
      </c>
      <c r="F8" s="2" t="s">
        <v>28</v>
      </c>
      <c r="K8" s="8" t="s">
        <v>10</v>
      </c>
      <c r="L8" s="8" t="s">
        <v>24</v>
      </c>
      <c r="M8" s="8">
        <v>20000</v>
      </c>
      <c r="N8" s="8" t="s">
        <v>25</v>
      </c>
      <c r="P8" s="5" t="s">
        <v>10</v>
      </c>
      <c r="Q8" s="5" t="s">
        <v>24</v>
      </c>
      <c r="R8" s="5">
        <v>20000</v>
      </c>
      <c r="S8" s="9" t="s">
        <v>25</v>
      </c>
      <c r="V8" s="5" t="s">
        <v>10</v>
      </c>
      <c r="W8" s="5" t="s">
        <v>10</v>
      </c>
      <c r="X8" s="5" t="s">
        <v>10</v>
      </c>
      <c r="Y8" s="5" t="s">
        <v>10</v>
      </c>
      <c r="Z8" s="5" t="s">
        <v>10</v>
      </c>
      <c r="AA8" s="5" t="s">
        <v>10</v>
      </c>
      <c r="AB8" s="5" t="s">
        <v>10</v>
      </c>
      <c r="AC8" s="5" t="s">
        <v>10</v>
      </c>
    </row>
    <row r="9" spans="1:29" ht="16.5">
      <c r="A9" s="4" t="s">
        <v>29</v>
      </c>
      <c r="B9" s="4" t="s">
        <v>30</v>
      </c>
      <c r="K9" s="8" t="s">
        <v>31</v>
      </c>
      <c r="L9" s="8" t="s">
        <v>32</v>
      </c>
      <c r="M9" s="8">
        <v>23400</v>
      </c>
      <c r="N9" s="8" t="s">
        <v>25</v>
      </c>
      <c r="P9" s="5" t="s">
        <v>31</v>
      </c>
      <c r="Q9" s="5" t="s">
        <v>32</v>
      </c>
      <c r="R9" s="5">
        <v>23400</v>
      </c>
      <c r="S9" s="9" t="s">
        <v>25</v>
      </c>
      <c r="V9" s="5" t="s">
        <v>10</v>
      </c>
      <c r="W9" s="5" t="s">
        <v>10</v>
      </c>
      <c r="X9" s="5" t="s">
        <v>10</v>
      </c>
      <c r="Y9" s="5" t="s">
        <v>10</v>
      </c>
      <c r="Z9" s="5" t="s">
        <v>10</v>
      </c>
      <c r="AA9" s="5" t="s">
        <v>10</v>
      </c>
      <c r="AB9" s="5" t="s">
        <v>10</v>
      </c>
      <c r="AC9" s="5" t="s">
        <v>10</v>
      </c>
    </row>
    <row r="10" spans="1:29" ht="16.5">
      <c r="A10" s="4" t="s">
        <v>33</v>
      </c>
      <c r="B10" s="4" t="s">
        <v>34</v>
      </c>
      <c r="K10" s="8" t="s">
        <v>35</v>
      </c>
      <c r="L10" s="8" t="s">
        <v>36</v>
      </c>
      <c r="M10" s="8">
        <v>220800</v>
      </c>
      <c r="N10" s="8" t="s">
        <v>25</v>
      </c>
      <c r="P10" s="5" t="s">
        <v>35</v>
      </c>
      <c r="Q10" s="5" t="s">
        <v>36</v>
      </c>
      <c r="R10" s="5">
        <v>220800</v>
      </c>
      <c r="S10" s="9" t="s">
        <v>25</v>
      </c>
      <c r="V10" s="5" t="s">
        <v>10</v>
      </c>
      <c r="W10" s="5" t="s">
        <v>10</v>
      </c>
      <c r="X10" s="5" t="s">
        <v>10</v>
      </c>
      <c r="Y10" s="5" t="s">
        <v>10</v>
      </c>
      <c r="Z10" s="5" t="s">
        <v>10</v>
      </c>
      <c r="AA10" s="5" t="s">
        <v>10</v>
      </c>
      <c r="AB10" s="5" t="s">
        <v>10</v>
      </c>
      <c r="AC10" s="5" t="s">
        <v>10</v>
      </c>
    </row>
    <row r="11" spans="1:29" ht="16.5">
      <c r="F11" s="2" t="s">
        <v>28</v>
      </c>
      <c r="K11" s="8" t="s">
        <v>37</v>
      </c>
      <c r="L11" s="8" t="s">
        <v>38</v>
      </c>
      <c r="M11" s="8">
        <v>55200</v>
      </c>
      <c r="N11" s="8" t="s">
        <v>25</v>
      </c>
      <c r="P11" s="5" t="s">
        <v>37</v>
      </c>
      <c r="Q11" s="5" t="s">
        <v>38</v>
      </c>
      <c r="R11" s="5">
        <v>55200</v>
      </c>
      <c r="S11" s="9" t="s">
        <v>25</v>
      </c>
      <c r="V11" s="5" t="s">
        <v>10</v>
      </c>
      <c r="W11" s="5" t="s">
        <v>10</v>
      </c>
      <c r="X11" s="5" t="s">
        <v>10</v>
      </c>
      <c r="Y11" s="5" t="s">
        <v>10</v>
      </c>
      <c r="Z11" s="5" t="s">
        <v>10</v>
      </c>
      <c r="AA11" s="5" t="s">
        <v>10</v>
      </c>
      <c r="AB11" s="5" t="s">
        <v>10</v>
      </c>
      <c r="AC11" s="5" t="s">
        <v>10</v>
      </c>
    </row>
    <row r="12" spans="1:29" ht="21">
      <c r="A12" s="106" t="s">
        <v>39</v>
      </c>
      <c r="B12" s="106"/>
      <c r="K12" s="8" t="s">
        <v>40</v>
      </c>
      <c r="L12" s="8" t="s">
        <v>41</v>
      </c>
      <c r="M12" s="8">
        <v>116100</v>
      </c>
      <c r="N12" s="8" t="s">
        <v>25</v>
      </c>
      <c r="P12" s="5" t="s">
        <v>40</v>
      </c>
      <c r="Q12" s="5" t="s">
        <v>41</v>
      </c>
      <c r="R12" s="5">
        <v>116100</v>
      </c>
      <c r="S12" s="9" t="s">
        <v>25</v>
      </c>
      <c r="V12" s="5" t="s">
        <v>10</v>
      </c>
      <c r="W12" s="5" t="s">
        <v>10</v>
      </c>
      <c r="X12" s="5" t="s">
        <v>10</v>
      </c>
      <c r="Y12" s="5" t="s">
        <v>10</v>
      </c>
      <c r="Z12" s="5" t="s">
        <v>10</v>
      </c>
      <c r="AA12" s="5" t="s">
        <v>10</v>
      </c>
      <c r="AB12" s="5" t="s">
        <v>10</v>
      </c>
      <c r="AC12" s="5" t="s">
        <v>10</v>
      </c>
    </row>
    <row r="13" spans="1:29" ht="16.5">
      <c r="A13" s="3" t="s">
        <v>1</v>
      </c>
      <c r="B13" s="3" t="s">
        <v>2</v>
      </c>
      <c r="K13" s="8" t="s">
        <v>42</v>
      </c>
      <c r="L13" s="8" t="s">
        <v>24</v>
      </c>
      <c r="M13" s="8">
        <v>140700</v>
      </c>
      <c r="N13" s="8" t="s">
        <v>25</v>
      </c>
      <c r="P13" s="5" t="s">
        <v>42</v>
      </c>
      <c r="Q13" s="5" t="s">
        <v>24</v>
      </c>
      <c r="R13" s="5">
        <v>140700</v>
      </c>
      <c r="S13" s="9" t="s">
        <v>25</v>
      </c>
      <c r="V13" s="5" t="s">
        <v>10</v>
      </c>
      <c r="W13" s="5" t="s">
        <v>10</v>
      </c>
      <c r="X13" s="5" t="s">
        <v>10</v>
      </c>
      <c r="Y13" s="5" t="s">
        <v>10</v>
      </c>
      <c r="Z13" s="5" t="s">
        <v>10</v>
      </c>
      <c r="AA13" s="5" t="s">
        <v>10</v>
      </c>
      <c r="AB13" s="5" t="s">
        <v>10</v>
      </c>
      <c r="AC13" s="5" t="s">
        <v>10</v>
      </c>
    </row>
    <row r="14" spans="1:29" ht="16.5">
      <c r="A14" s="4" t="s">
        <v>43</v>
      </c>
      <c r="B14" s="4" t="s">
        <v>44</v>
      </c>
      <c r="F14" s="11">
        <v>45123.55</v>
      </c>
      <c r="K14" s="8" t="s">
        <v>45</v>
      </c>
      <c r="L14" s="8" t="s">
        <v>41</v>
      </c>
      <c r="M14" s="8">
        <v>240600</v>
      </c>
      <c r="N14" s="8" t="s">
        <v>25</v>
      </c>
      <c r="P14" s="5" t="s">
        <v>45</v>
      </c>
      <c r="Q14" s="5" t="s">
        <v>41</v>
      </c>
      <c r="R14" s="5">
        <v>240600</v>
      </c>
      <c r="S14" s="9" t="s">
        <v>25</v>
      </c>
      <c r="V14" s="5" t="s">
        <v>10</v>
      </c>
      <c r="W14" s="5" t="s">
        <v>10</v>
      </c>
      <c r="X14" s="5" t="s">
        <v>10</v>
      </c>
      <c r="Y14" s="5" t="s">
        <v>10</v>
      </c>
      <c r="Z14" s="5" t="s">
        <v>10</v>
      </c>
      <c r="AA14" s="5" t="s">
        <v>10</v>
      </c>
      <c r="AB14" s="5" t="s">
        <v>10</v>
      </c>
      <c r="AC14" s="5" t="s">
        <v>10</v>
      </c>
    </row>
    <row r="15" spans="1:29">
      <c r="A15" s="4" t="s">
        <v>46</v>
      </c>
      <c r="B15" s="4" t="s">
        <v>47</v>
      </c>
      <c r="V15" s="5" t="s">
        <v>10</v>
      </c>
      <c r="W15" s="5" t="s">
        <v>10</v>
      </c>
      <c r="X15" s="5" t="s">
        <v>10</v>
      </c>
      <c r="Y15" s="5" t="s">
        <v>10</v>
      </c>
      <c r="Z15" s="5" t="s">
        <v>10</v>
      </c>
      <c r="AA15" s="5" t="s">
        <v>10</v>
      </c>
      <c r="AB15" s="5" t="s">
        <v>10</v>
      </c>
      <c r="AC15" s="5" t="s">
        <v>10</v>
      </c>
    </row>
    <row r="16" spans="1:29">
      <c r="A16" s="4" t="s">
        <v>48</v>
      </c>
      <c r="B16" s="4" t="s">
        <v>49</v>
      </c>
      <c r="K16" s="2" t="s">
        <v>50</v>
      </c>
      <c r="V16" s="5" t="s">
        <v>10</v>
      </c>
      <c r="W16" s="5" t="s">
        <v>10</v>
      </c>
      <c r="X16" s="5" t="s">
        <v>10</v>
      </c>
      <c r="Y16" s="5" t="s">
        <v>10</v>
      </c>
      <c r="Z16" s="5" t="s">
        <v>10</v>
      </c>
      <c r="AA16" s="5" t="s">
        <v>10</v>
      </c>
      <c r="AB16" s="5" t="s">
        <v>10</v>
      </c>
      <c r="AC16" s="5" t="s">
        <v>10</v>
      </c>
    </row>
    <row r="17" spans="1:28" ht="16.5">
      <c r="A17" s="4" t="s">
        <v>51</v>
      </c>
      <c r="B17" s="4" t="s">
        <v>52</v>
      </c>
      <c r="K17" s="12" t="s">
        <v>16</v>
      </c>
      <c r="L17" s="12" t="s">
        <v>17</v>
      </c>
      <c r="M17" s="12" t="s">
        <v>18</v>
      </c>
      <c r="N17" s="12" t="s">
        <v>19</v>
      </c>
      <c r="Y17" s="13"/>
      <c r="Z17" s="13"/>
      <c r="AA17" s="13"/>
      <c r="AB17" s="13"/>
    </row>
    <row r="18" spans="1:28" ht="33.5">
      <c r="A18" s="4" t="s">
        <v>53</v>
      </c>
      <c r="B18" s="4" t="s">
        <v>54</v>
      </c>
      <c r="K18" s="14" t="s">
        <v>23</v>
      </c>
      <c r="L18" s="14" t="s">
        <v>24</v>
      </c>
      <c r="M18" s="14">
        <v>125000</v>
      </c>
      <c r="N18" s="14" t="s">
        <v>25</v>
      </c>
      <c r="P18" s="15" t="s">
        <v>55</v>
      </c>
      <c r="Q18" s="16" t="s">
        <v>55</v>
      </c>
      <c r="Y18" s="13"/>
      <c r="Z18" s="13"/>
      <c r="AA18" s="13"/>
      <c r="AB18" s="13"/>
    </row>
    <row r="19" spans="1:28" ht="33.5">
      <c r="A19" s="4" t="s">
        <v>56</v>
      </c>
      <c r="B19" s="4" t="s">
        <v>57</v>
      </c>
      <c r="K19" s="14" t="s">
        <v>10</v>
      </c>
      <c r="L19" s="14" t="s">
        <v>24</v>
      </c>
      <c r="M19" s="14">
        <v>20000</v>
      </c>
      <c r="N19" s="14" t="s">
        <v>25</v>
      </c>
      <c r="P19" s="15" t="s">
        <v>58</v>
      </c>
      <c r="Q19" s="16" t="s">
        <v>58</v>
      </c>
      <c r="U19" s="17" t="s">
        <v>59</v>
      </c>
      <c r="Y19" s="13"/>
      <c r="Z19" s="13"/>
      <c r="AA19" s="13"/>
      <c r="AB19" s="13"/>
    </row>
    <row r="20" spans="1:28" ht="33.5">
      <c r="K20" s="14" t="s">
        <v>31</v>
      </c>
      <c r="L20" s="14" t="s">
        <v>32</v>
      </c>
      <c r="M20" s="14">
        <v>23400</v>
      </c>
      <c r="N20" s="14" t="s">
        <v>25</v>
      </c>
      <c r="P20" s="15" t="s">
        <v>60</v>
      </c>
      <c r="Q20" s="16" t="s">
        <v>60</v>
      </c>
    </row>
    <row r="21" spans="1:28" ht="33.5">
      <c r="A21" s="106" t="s">
        <v>61</v>
      </c>
      <c r="B21" s="106"/>
      <c r="K21" s="14" t="s">
        <v>35</v>
      </c>
      <c r="L21" s="14" t="s">
        <v>36</v>
      </c>
      <c r="M21" s="14">
        <v>220800</v>
      </c>
      <c r="N21" s="14" t="s">
        <v>25</v>
      </c>
      <c r="P21" s="15" t="s">
        <v>62</v>
      </c>
      <c r="Q21" s="16" t="s">
        <v>62</v>
      </c>
    </row>
    <row r="22" spans="1:28" ht="33.5">
      <c r="A22" s="3" t="s">
        <v>1</v>
      </c>
      <c r="B22" s="3" t="s">
        <v>2</v>
      </c>
      <c r="K22" s="14" t="s">
        <v>37</v>
      </c>
      <c r="L22" s="14" t="s">
        <v>38</v>
      </c>
      <c r="M22" s="14">
        <v>55200</v>
      </c>
      <c r="N22" s="14" t="s">
        <v>25</v>
      </c>
      <c r="P22" s="15" t="s">
        <v>63</v>
      </c>
      <c r="Q22" s="16" t="s">
        <v>63</v>
      </c>
    </row>
    <row r="23" spans="1:28" ht="33.5">
      <c r="A23" s="4" t="s">
        <v>64</v>
      </c>
      <c r="B23" s="4" t="s">
        <v>65</v>
      </c>
      <c r="K23" s="14" t="s">
        <v>40</v>
      </c>
      <c r="L23" s="14" t="s">
        <v>41</v>
      </c>
      <c r="M23" s="14">
        <v>116100</v>
      </c>
      <c r="N23" s="14" t="s">
        <v>25</v>
      </c>
      <c r="P23" s="15" t="s">
        <v>66</v>
      </c>
      <c r="Q23" s="16" t="s">
        <v>66</v>
      </c>
      <c r="U23" s="5" t="s">
        <v>10</v>
      </c>
      <c r="V23" s="5" t="s">
        <v>10</v>
      </c>
      <c r="W23" s="5" t="s">
        <v>10</v>
      </c>
      <c r="X23" s="5" t="s">
        <v>10</v>
      </c>
    </row>
    <row r="24" spans="1:28" ht="33.5">
      <c r="A24" s="4" t="s">
        <v>67</v>
      </c>
      <c r="B24" s="4" t="s">
        <v>68</v>
      </c>
      <c r="K24" s="14" t="s">
        <v>42</v>
      </c>
      <c r="L24" s="14" t="s">
        <v>24</v>
      </c>
      <c r="M24" s="14">
        <v>140700</v>
      </c>
      <c r="N24" s="14" t="s">
        <v>25</v>
      </c>
      <c r="P24" s="15" t="s">
        <v>69</v>
      </c>
      <c r="Q24" s="16" t="s">
        <v>69</v>
      </c>
    </row>
    <row r="25" spans="1:28" ht="33.5">
      <c r="A25" s="4" t="s">
        <v>70</v>
      </c>
      <c r="B25" s="4" t="s">
        <v>71</v>
      </c>
      <c r="K25" s="14" t="s">
        <v>45</v>
      </c>
      <c r="L25" s="14" t="s">
        <v>41</v>
      </c>
      <c r="M25" s="14">
        <v>240600</v>
      </c>
      <c r="N25" s="14" t="s">
        <v>25</v>
      </c>
      <c r="P25" s="15" t="s">
        <v>72</v>
      </c>
      <c r="Q25" s="16" t="s">
        <v>72</v>
      </c>
    </row>
    <row r="26" spans="1:28" ht="34" thickBot="1">
      <c r="A26" s="4" t="s">
        <v>73</v>
      </c>
      <c r="B26" s="4" t="s">
        <v>54</v>
      </c>
      <c r="P26" s="15" t="s">
        <v>74</v>
      </c>
      <c r="Q26" s="16" t="s">
        <v>74</v>
      </c>
    </row>
    <row r="27" spans="1:28" ht="34.5" thickTop="1" thickBot="1">
      <c r="A27" s="4" t="s">
        <v>75</v>
      </c>
      <c r="B27" s="4" t="s">
        <v>76</v>
      </c>
      <c r="K27" s="18" t="s">
        <v>16</v>
      </c>
      <c r="L27" s="18" t="s">
        <v>17</v>
      </c>
      <c r="M27" s="18" t="s">
        <v>18</v>
      </c>
      <c r="N27" s="18" t="s">
        <v>19</v>
      </c>
      <c r="P27" s="15" t="s">
        <v>77</v>
      </c>
      <c r="Q27" s="16" t="s">
        <v>77</v>
      </c>
    </row>
    <row r="28" spans="1:28" ht="34.5" thickTop="1" thickBot="1">
      <c r="A28" s="4" t="s">
        <v>78</v>
      </c>
      <c r="B28" s="4" t="s">
        <v>49</v>
      </c>
      <c r="K28" s="18" t="s">
        <v>23</v>
      </c>
      <c r="L28" s="18" t="s">
        <v>24</v>
      </c>
      <c r="M28" s="18">
        <v>125000</v>
      </c>
      <c r="N28" s="18" t="s">
        <v>25</v>
      </c>
      <c r="P28" s="15" t="s">
        <v>79</v>
      </c>
      <c r="Q28" s="16" t="s">
        <v>79</v>
      </c>
    </row>
    <row r="29" spans="1:28" ht="34.5" thickTop="1" thickBot="1">
      <c r="A29" s="4" t="s">
        <v>80</v>
      </c>
      <c r="B29" s="4" t="s">
        <v>52</v>
      </c>
      <c r="K29" s="18" t="s">
        <v>10</v>
      </c>
      <c r="L29" s="18" t="s">
        <v>24</v>
      </c>
      <c r="M29" s="18">
        <v>20000</v>
      </c>
      <c r="N29" s="18" t="s">
        <v>25</v>
      </c>
      <c r="P29" s="15" t="s">
        <v>81</v>
      </c>
      <c r="Q29" s="16" t="s">
        <v>81</v>
      </c>
    </row>
    <row r="30" spans="1:28" ht="34.5" thickTop="1" thickBot="1">
      <c r="K30" s="18" t="s">
        <v>31</v>
      </c>
      <c r="L30" s="18" t="s">
        <v>32</v>
      </c>
      <c r="M30" s="18">
        <v>23400</v>
      </c>
      <c r="N30" s="18" t="s">
        <v>25</v>
      </c>
      <c r="P30" s="15" t="s">
        <v>82</v>
      </c>
      <c r="Q30" s="16" t="s">
        <v>82</v>
      </c>
    </row>
    <row r="31" spans="1:28" ht="34.5" thickTop="1" thickBot="1">
      <c r="A31" s="106" t="s">
        <v>83</v>
      </c>
      <c r="B31" s="106"/>
      <c r="K31" s="18" t="s">
        <v>35</v>
      </c>
      <c r="L31" s="18" t="s">
        <v>36</v>
      </c>
      <c r="M31" s="18">
        <v>220800</v>
      </c>
      <c r="N31" s="18" t="s">
        <v>25</v>
      </c>
      <c r="P31" s="15" t="s">
        <v>84</v>
      </c>
      <c r="Q31" s="16" t="s">
        <v>84</v>
      </c>
    </row>
    <row r="32" spans="1:28" ht="34.5" thickTop="1" thickBot="1">
      <c r="A32" s="3" t="s">
        <v>1</v>
      </c>
      <c r="B32" s="3" t="s">
        <v>2</v>
      </c>
      <c r="K32" s="18" t="s">
        <v>37</v>
      </c>
      <c r="L32" s="18" t="s">
        <v>38</v>
      </c>
      <c r="M32" s="18">
        <v>55200</v>
      </c>
      <c r="N32" s="18" t="s">
        <v>25</v>
      </c>
      <c r="P32" s="15" t="s">
        <v>85</v>
      </c>
      <c r="Q32" s="16" t="s">
        <v>85</v>
      </c>
    </row>
    <row r="33" spans="1:17" ht="34.5" thickTop="1" thickBot="1">
      <c r="A33" s="4" t="s">
        <v>86</v>
      </c>
      <c r="B33" s="4" t="s">
        <v>57</v>
      </c>
      <c r="K33" s="18" t="s">
        <v>40</v>
      </c>
      <c r="L33" s="18" t="s">
        <v>41</v>
      </c>
      <c r="M33" s="18">
        <v>116100</v>
      </c>
      <c r="N33" s="18" t="s">
        <v>25</v>
      </c>
      <c r="P33" s="15" t="s">
        <v>87</v>
      </c>
      <c r="Q33" s="16" t="s">
        <v>87</v>
      </c>
    </row>
    <row r="34" spans="1:17" ht="34.5" thickTop="1" thickBot="1">
      <c r="A34" s="4" t="s">
        <v>88</v>
      </c>
      <c r="B34" s="4" t="s">
        <v>89</v>
      </c>
      <c r="K34" s="18" t="s">
        <v>42</v>
      </c>
      <c r="L34" s="18" t="s">
        <v>24</v>
      </c>
      <c r="M34" s="18">
        <v>140700</v>
      </c>
      <c r="N34" s="18" t="s">
        <v>25</v>
      </c>
      <c r="P34" s="15" t="s">
        <v>90</v>
      </c>
      <c r="Q34" s="16" t="s">
        <v>90</v>
      </c>
    </row>
    <row r="35" spans="1:17" ht="34.5" thickTop="1" thickBot="1">
      <c r="A35" s="4" t="s">
        <v>91</v>
      </c>
      <c r="B35" s="4" t="s">
        <v>92</v>
      </c>
      <c r="K35" s="18" t="s">
        <v>45</v>
      </c>
      <c r="L35" s="18" t="s">
        <v>41</v>
      </c>
      <c r="M35" s="18">
        <v>240600</v>
      </c>
      <c r="N35" s="18" t="s">
        <v>25</v>
      </c>
      <c r="P35" s="15" t="s">
        <v>93</v>
      </c>
      <c r="Q35" s="16" t="s">
        <v>93</v>
      </c>
    </row>
    <row r="36" spans="1:17" ht="34" thickTop="1">
      <c r="A36" s="4" t="s">
        <v>94</v>
      </c>
      <c r="B36" s="4" t="s">
        <v>95</v>
      </c>
      <c r="P36" s="15" t="s">
        <v>96</v>
      </c>
      <c r="Q36" s="16" t="s">
        <v>96</v>
      </c>
    </row>
    <row r="37" spans="1:17" ht="33.5">
      <c r="A37" s="4" t="s">
        <v>97</v>
      </c>
      <c r="B37" s="4" t="s">
        <v>98</v>
      </c>
      <c r="P37" s="15" t="s">
        <v>99</v>
      </c>
      <c r="Q37" s="16" t="s">
        <v>99</v>
      </c>
    </row>
    <row r="38" spans="1:17" ht="33.5">
      <c r="A38" s="4" t="s">
        <v>100</v>
      </c>
      <c r="B38" s="4" t="s">
        <v>101</v>
      </c>
      <c r="P38" s="15" t="s">
        <v>102</v>
      </c>
      <c r="Q38" s="16" t="s">
        <v>102</v>
      </c>
    </row>
    <row r="39" spans="1:17" ht="33.5">
      <c r="A39" s="4" t="s">
        <v>103</v>
      </c>
      <c r="B39" s="4" t="s">
        <v>104</v>
      </c>
      <c r="K39" s="19" t="s">
        <v>105</v>
      </c>
      <c r="L39" s="19" t="s">
        <v>106</v>
      </c>
      <c r="P39" s="15" t="s">
        <v>107</v>
      </c>
      <c r="Q39" s="16" t="s">
        <v>107</v>
      </c>
    </row>
    <row r="40" spans="1:17" ht="38.5">
      <c r="A40" s="4" t="s">
        <v>108</v>
      </c>
      <c r="B40" s="4" t="s">
        <v>109</v>
      </c>
      <c r="K40" s="20" t="str">
        <f>CHAR(64+ROW(A1))</f>
        <v>A</v>
      </c>
      <c r="L40" s="21" t="str">
        <f>K40</f>
        <v>A</v>
      </c>
      <c r="P40" s="15" t="s">
        <v>110</v>
      </c>
      <c r="Q40" s="16" t="s">
        <v>110</v>
      </c>
    </row>
    <row r="41" spans="1:17" ht="38.5">
      <c r="A41" s="4" t="s">
        <v>111</v>
      </c>
      <c r="B41" s="4" t="s">
        <v>112</v>
      </c>
      <c r="K41" s="20" t="str">
        <f t="shared" ref="K41:K65" si="0">CHAR(64+ROW(A2))</f>
        <v>B</v>
      </c>
      <c r="L41" s="21" t="str">
        <f t="shared" ref="L41:L65" si="1">K41</f>
        <v>B</v>
      </c>
      <c r="P41" s="15" t="s">
        <v>113</v>
      </c>
      <c r="Q41" s="16" t="s">
        <v>113</v>
      </c>
    </row>
    <row r="42" spans="1:17" ht="38.5">
      <c r="A42" s="4" t="s">
        <v>114</v>
      </c>
      <c r="B42" s="4" t="s">
        <v>115</v>
      </c>
      <c r="K42" s="20" t="str">
        <f t="shared" si="0"/>
        <v>C</v>
      </c>
      <c r="L42" s="21" t="str">
        <f t="shared" si="1"/>
        <v>C</v>
      </c>
      <c r="P42" s="15" t="s">
        <v>116</v>
      </c>
      <c r="Q42" s="16" t="s">
        <v>116</v>
      </c>
    </row>
    <row r="43" spans="1:17" ht="38.5">
      <c r="A43" s="4" t="s">
        <v>117</v>
      </c>
      <c r="B43" s="4" t="s">
        <v>118</v>
      </c>
      <c r="K43" s="20" t="str">
        <f t="shared" si="0"/>
        <v>D</v>
      </c>
      <c r="L43" s="21" t="str">
        <f t="shared" si="1"/>
        <v>D</v>
      </c>
      <c r="P43" s="15" t="s">
        <v>119</v>
      </c>
      <c r="Q43" s="16" t="s">
        <v>119</v>
      </c>
    </row>
    <row r="44" spans="1:17" ht="38.5">
      <c r="A44" s="4" t="s">
        <v>120</v>
      </c>
      <c r="B44" s="4" t="s">
        <v>121</v>
      </c>
      <c r="K44" s="20" t="str">
        <f t="shared" si="0"/>
        <v>E</v>
      </c>
      <c r="L44" s="21" t="str">
        <f t="shared" si="1"/>
        <v>E</v>
      </c>
    </row>
    <row r="45" spans="1:17" ht="38.5">
      <c r="A45" s="4" t="s">
        <v>122</v>
      </c>
      <c r="B45" s="4" t="s">
        <v>123</v>
      </c>
      <c r="K45" s="20" t="str">
        <f t="shared" si="0"/>
        <v>F</v>
      </c>
      <c r="L45" s="21" t="str">
        <f t="shared" si="1"/>
        <v>F</v>
      </c>
    </row>
    <row r="46" spans="1:17" ht="38.5">
      <c r="A46" s="4" t="s">
        <v>124</v>
      </c>
      <c r="B46" s="4" t="s">
        <v>125</v>
      </c>
      <c r="K46" s="20" t="str">
        <f t="shared" si="0"/>
        <v>G</v>
      </c>
      <c r="L46" s="21" t="str">
        <f t="shared" si="1"/>
        <v>G</v>
      </c>
    </row>
    <row r="47" spans="1:17" ht="38.5">
      <c r="A47" s="22" t="s">
        <v>126</v>
      </c>
      <c r="B47" s="22" t="s">
        <v>127</v>
      </c>
      <c r="K47" s="20" t="str">
        <f t="shared" si="0"/>
        <v>H</v>
      </c>
      <c r="L47" s="21" t="str">
        <f t="shared" si="1"/>
        <v>H</v>
      </c>
    </row>
    <row r="48" spans="1:17" ht="38.5">
      <c r="A48" s="22" t="s">
        <v>128</v>
      </c>
      <c r="B48" s="22" t="s">
        <v>129</v>
      </c>
      <c r="K48" s="20" t="str">
        <f t="shared" si="0"/>
        <v>I</v>
      </c>
      <c r="L48" s="21" t="str">
        <f t="shared" si="1"/>
        <v>I</v>
      </c>
    </row>
    <row r="49" spans="1:12" ht="38.5">
      <c r="A49" s="22" t="s">
        <v>130</v>
      </c>
      <c r="B49" s="22" t="s">
        <v>131</v>
      </c>
      <c r="K49" s="20" t="str">
        <f t="shared" si="0"/>
        <v>J</v>
      </c>
      <c r="L49" s="21" t="str">
        <f t="shared" si="1"/>
        <v>J</v>
      </c>
    </row>
    <row r="50" spans="1:12" ht="38.5">
      <c r="A50" s="22" t="s">
        <v>132</v>
      </c>
      <c r="B50" s="22" t="s">
        <v>133</v>
      </c>
      <c r="K50" s="20" t="str">
        <f t="shared" si="0"/>
        <v>K</v>
      </c>
      <c r="L50" s="21" t="str">
        <f t="shared" si="1"/>
        <v>K</v>
      </c>
    </row>
    <row r="51" spans="1:12" ht="38.5">
      <c r="K51" s="20" t="str">
        <f t="shared" si="0"/>
        <v>L</v>
      </c>
      <c r="L51" s="21" t="str">
        <f t="shared" si="1"/>
        <v>L</v>
      </c>
    </row>
    <row r="52" spans="1:12" ht="38.5">
      <c r="A52" s="110" t="s">
        <v>134</v>
      </c>
      <c r="B52" s="110"/>
      <c r="K52" s="20" t="str">
        <f t="shared" si="0"/>
        <v>M</v>
      </c>
      <c r="L52" s="21" t="str">
        <f t="shared" si="1"/>
        <v>M</v>
      </c>
    </row>
    <row r="53" spans="1:12" ht="38.5">
      <c r="A53" s="3" t="s">
        <v>1</v>
      </c>
      <c r="B53" s="3" t="s">
        <v>135</v>
      </c>
      <c r="K53" s="20" t="str">
        <f t="shared" si="0"/>
        <v>N</v>
      </c>
      <c r="L53" s="21" t="str">
        <f t="shared" si="1"/>
        <v>N</v>
      </c>
    </row>
    <row r="54" spans="1:12" ht="38.5">
      <c r="A54" s="4" t="s">
        <v>136</v>
      </c>
      <c r="B54" s="4" t="s">
        <v>137</v>
      </c>
      <c r="K54" s="20" t="str">
        <f t="shared" si="0"/>
        <v>O</v>
      </c>
      <c r="L54" s="21" t="str">
        <f t="shared" si="1"/>
        <v>O</v>
      </c>
    </row>
    <row r="55" spans="1:12" ht="38.5">
      <c r="A55" s="4" t="s">
        <v>138</v>
      </c>
      <c r="B55" s="4" t="s">
        <v>131</v>
      </c>
      <c r="K55" s="20" t="str">
        <f t="shared" si="0"/>
        <v>P</v>
      </c>
      <c r="L55" s="21" t="str">
        <f t="shared" si="1"/>
        <v>P</v>
      </c>
    </row>
    <row r="56" spans="1:12" ht="38.5">
      <c r="A56" s="4" t="s">
        <v>139</v>
      </c>
      <c r="B56" s="4" t="s">
        <v>133</v>
      </c>
      <c r="K56" s="20" t="str">
        <f t="shared" si="0"/>
        <v>Q</v>
      </c>
      <c r="L56" s="21" t="str">
        <f t="shared" si="1"/>
        <v>Q</v>
      </c>
    </row>
    <row r="57" spans="1:12" ht="38.5">
      <c r="A57" s="4" t="s">
        <v>140</v>
      </c>
      <c r="B57" s="4" t="s">
        <v>141</v>
      </c>
      <c r="K57" s="20" t="str">
        <f t="shared" si="0"/>
        <v>R</v>
      </c>
      <c r="L57" s="21" t="str">
        <f t="shared" si="1"/>
        <v>R</v>
      </c>
    </row>
    <row r="58" spans="1:12" ht="38.5">
      <c r="A58" s="4" t="s">
        <v>142</v>
      </c>
      <c r="B58" s="4" t="s">
        <v>143</v>
      </c>
      <c r="K58" s="20" t="str">
        <f t="shared" si="0"/>
        <v>S</v>
      </c>
      <c r="L58" s="21" t="str">
        <f t="shared" si="1"/>
        <v>S</v>
      </c>
    </row>
    <row r="59" spans="1:12" ht="38.5">
      <c r="A59" s="4" t="s">
        <v>144</v>
      </c>
      <c r="B59" s="4" t="s">
        <v>145</v>
      </c>
      <c r="K59" s="20" t="str">
        <f t="shared" si="0"/>
        <v>T</v>
      </c>
      <c r="L59" s="21" t="str">
        <f t="shared" si="1"/>
        <v>T</v>
      </c>
    </row>
    <row r="60" spans="1:12" ht="38.5">
      <c r="K60" s="20" t="str">
        <f t="shared" si="0"/>
        <v>U</v>
      </c>
      <c r="L60" s="21" t="str">
        <f t="shared" si="1"/>
        <v>U</v>
      </c>
    </row>
    <row r="61" spans="1:12" ht="38.5">
      <c r="K61" s="20" t="str">
        <f t="shared" si="0"/>
        <v>V</v>
      </c>
      <c r="L61" s="21" t="str">
        <f t="shared" si="1"/>
        <v>V</v>
      </c>
    </row>
    <row r="62" spans="1:12" ht="38.5">
      <c r="A62" s="110" t="s">
        <v>146</v>
      </c>
      <c r="B62" s="110"/>
      <c r="K62" s="20" t="str">
        <f t="shared" si="0"/>
        <v>W</v>
      </c>
      <c r="L62" s="21" t="str">
        <f t="shared" si="1"/>
        <v>W</v>
      </c>
    </row>
    <row r="63" spans="1:12" ht="38.5">
      <c r="A63" s="3" t="s">
        <v>1</v>
      </c>
      <c r="B63" s="3" t="s">
        <v>135</v>
      </c>
      <c r="K63" s="20" t="str">
        <f t="shared" si="0"/>
        <v>X</v>
      </c>
      <c r="L63" s="21" t="str">
        <f t="shared" si="1"/>
        <v>X</v>
      </c>
    </row>
    <row r="64" spans="1:12" ht="38.5">
      <c r="A64" s="4" t="s">
        <v>147</v>
      </c>
      <c r="B64" s="4" t="s">
        <v>148</v>
      </c>
      <c r="K64" s="20" t="str">
        <f t="shared" si="0"/>
        <v>Y</v>
      </c>
      <c r="L64" s="21" t="str">
        <f t="shared" si="1"/>
        <v>Y</v>
      </c>
    </row>
    <row r="65" spans="1:12" ht="38.5">
      <c r="A65" s="4" t="s">
        <v>149</v>
      </c>
      <c r="B65" s="4" t="s">
        <v>150</v>
      </c>
      <c r="K65" s="20" t="str">
        <f t="shared" si="0"/>
        <v>Z</v>
      </c>
      <c r="L65" s="21" t="str">
        <f t="shared" si="1"/>
        <v>Z</v>
      </c>
    </row>
    <row r="66" spans="1:12">
      <c r="A66" s="4" t="s">
        <v>151</v>
      </c>
      <c r="B66" s="4" t="s">
        <v>152</v>
      </c>
    </row>
    <row r="67" spans="1:12">
      <c r="A67" s="4" t="s">
        <v>153</v>
      </c>
      <c r="B67" s="4" t="s">
        <v>154</v>
      </c>
    </row>
    <row r="68" spans="1:12">
      <c r="A68" s="4" t="s">
        <v>155</v>
      </c>
      <c r="B68" s="4" t="s">
        <v>156</v>
      </c>
    </row>
    <row r="69" spans="1:12">
      <c r="A69" s="4" t="s">
        <v>157</v>
      </c>
      <c r="B69" s="4" t="s">
        <v>158</v>
      </c>
    </row>
    <row r="70" spans="1:12">
      <c r="A70" s="4" t="s">
        <v>159</v>
      </c>
      <c r="B70" s="4" t="s">
        <v>160</v>
      </c>
    </row>
    <row r="71" spans="1:12">
      <c r="A71" s="4" t="s">
        <v>161</v>
      </c>
      <c r="B71" s="4" t="s">
        <v>162</v>
      </c>
    </row>
    <row r="72" spans="1:12">
      <c r="A72" s="4" t="s">
        <v>163</v>
      </c>
      <c r="B72" s="4" t="s">
        <v>164</v>
      </c>
    </row>
    <row r="73" spans="1:12">
      <c r="A73" s="4" t="s">
        <v>165</v>
      </c>
      <c r="B73" s="4" t="s">
        <v>166</v>
      </c>
    </row>
    <row r="74" spans="1:12">
      <c r="A74" s="4" t="s">
        <v>167</v>
      </c>
      <c r="B74" s="4" t="s">
        <v>168</v>
      </c>
    </row>
    <row r="75" spans="1:12">
      <c r="A75" s="4" t="s">
        <v>169</v>
      </c>
      <c r="B75" s="4" t="s">
        <v>170</v>
      </c>
    </row>
    <row r="76" spans="1:12">
      <c r="A76" s="4" t="s">
        <v>171</v>
      </c>
      <c r="B76" s="4" t="s">
        <v>172</v>
      </c>
    </row>
    <row r="77" spans="1:12">
      <c r="A77" s="4" t="s">
        <v>173</v>
      </c>
      <c r="B77" s="4" t="s">
        <v>174</v>
      </c>
    </row>
    <row r="78" spans="1:12">
      <c r="A78" s="4" t="s">
        <v>175</v>
      </c>
      <c r="B78" s="4" t="s">
        <v>176</v>
      </c>
    </row>
    <row r="79" spans="1:12">
      <c r="A79" s="4" t="s">
        <v>177</v>
      </c>
      <c r="B79" s="4" t="s">
        <v>178</v>
      </c>
    </row>
    <row r="81" spans="1:2" ht="21">
      <c r="A81" s="106" t="s">
        <v>179</v>
      </c>
      <c r="B81" s="106"/>
    </row>
    <row r="82" spans="1:2" ht="16.5">
      <c r="A82" s="3" t="s">
        <v>1</v>
      </c>
      <c r="B82" s="3" t="s">
        <v>135</v>
      </c>
    </row>
    <row r="83" spans="1:2">
      <c r="A83" s="23" t="s">
        <v>180</v>
      </c>
      <c r="B83" s="23" t="s">
        <v>181</v>
      </c>
    </row>
    <row r="84" spans="1:2">
      <c r="A84" s="23" t="s">
        <v>182</v>
      </c>
      <c r="B84" s="23" t="s">
        <v>183</v>
      </c>
    </row>
    <row r="85" spans="1:2">
      <c r="A85" s="23" t="s">
        <v>184</v>
      </c>
      <c r="B85" s="23" t="s">
        <v>185</v>
      </c>
    </row>
    <row r="86" spans="1:2">
      <c r="A86" s="23" t="s">
        <v>186</v>
      </c>
      <c r="B86" s="23" t="s">
        <v>187</v>
      </c>
    </row>
    <row r="87" spans="1:2">
      <c r="A87" s="23" t="s">
        <v>188</v>
      </c>
      <c r="B87" s="23" t="s">
        <v>189</v>
      </c>
    </row>
    <row r="88" spans="1:2">
      <c r="A88" s="23" t="s">
        <v>190</v>
      </c>
      <c r="B88" s="23" t="s">
        <v>191</v>
      </c>
    </row>
    <row r="89" spans="1:2">
      <c r="A89" s="23" t="s">
        <v>192</v>
      </c>
      <c r="B89" s="23" t="s">
        <v>193</v>
      </c>
    </row>
    <row r="91" spans="1:2" ht="21">
      <c r="A91" s="110" t="s">
        <v>194</v>
      </c>
      <c r="B91" s="110"/>
    </row>
    <row r="92" spans="1:2" ht="16.5">
      <c r="A92" s="3" t="s">
        <v>1</v>
      </c>
      <c r="B92" s="3" t="s">
        <v>135</v>
      </c>
    </row>
    <row r="93" spans="1:2">
      <c r="A93" s="4" t="s">
        <v>195</v>
      </c>
      <c r="B93" s="4" t="s">
        <v>196</v>
      </c>
    </row>
    <row r="94" spans="1:2">
      <c r="A94" s="4" t="s">
        <v>197</v>
      </c>
      <c r="B94" s="4" t="s">
        <v>198</v>
      </c>
    </row>
    <row r="95" spans="1:2">
      <c r="A95" s="4" t="s">
        <v>199</v>
      </c>
      <c r="B95" s="4" t="s">
        <v>200</v>
      </c>
    </row>
    <row r="96" spans="1:2">
      <c r="A96" s="4" t="s">
        <v>201</v>
      </c>
      <c r="B96" s="4" t="s">
        <v>202</v>
      </c>
    </row>
    <row r="97" spans="1:2">
      <c r="A97" s="4" t="s">
        <v>203</v>
      </c>
      <c r="B97" s="4" t="s">
        <v>204</v>
      </c>
    </row>
    <row r="98" spans="1:2">
      <c r="A98" s="4" t="s">
        <v>205</v>
      </c>
      <c r="B98" s="4" t="s">
        <v>206</v>
      </c>
    </row>
    <row r="99" spans="1:2">
      <c r="A99" s="4" t="s">
        <v>207</v>
      </c>
      <c r="B99" s="4" t="s">
        <v>208</v>
      </c>
    </row>
    <row r="100" spans="1:2">
      <c r="A100" s="4" t="s">
        <v>209</v>
      </c>
      <c r="B100" s="4" t="s">
        <v>210</v>
      </c>
    </row>
    <row r="101" spans="1:2">
      <c r="A101" s="4" t="s">
        <v>211</v>
      </c>
      <c r="B101" s="4" t="s">
        <v>212</v>
      </c>
    </row>
    <row r="102" spans="1:2">
      <c r="A102" s="4" t="s">
        <v>213</v>
      </c>
      <c r="B102" s="4" t="s">
        <v>214</v>
      </c>
    </row>
    <row r="103" spans="1:2">
      <c r="A103" s="4" t="s">
        <v>215</v>
      </c>
      <c r="B103" s="4" t="s">
        <v>216</v>
      </c>
    </row>
    <row r="104" spans="1:2">
      <c r="A104" s="4" t="s">
        <v>217</v>
      </c>
      <c r="B104" s="4" t="s">
        <v>218</v>
      </c>
    </row>
    <row r="105" spans="1:2">
      <c r="A105" s="4" t="s">
        <v>219</v>
      </c>
      <c r="B105" s="4" t="s">
        <v>220</v>
      </c>
    </row>
    <row r="106" spans="1:2">
      <c r="A106" s="4" t="s">
        <v>221</v>
      </c>
      <c r="B106" s="4" t="s">
        <v>222</v>
      </c>
    </row>
    <row r="107" spans="1:2">
      <c r="A107" s="4" t="s">
        <v>223</v>
      </c>
      <c r="B107" s="4" t="s">
        <v>224</v>
      </c>
    </row>
    <row r="108" spans="1:2">
      <c r="A108" s="4" t="s">
        <v>225</v>
      </c>
      <c r="B108" s="4" t="s">
        <v>226</v>
      </c>
    </row>
    <row r="110" spans="1:2" ht="21">
      <c r="A110" s="106" t="s">
        <v>227</v>
      </c>
      <c r="B110" s="106"/>
    </row>
    <row r="111" spans="1:2" ht="16.5">
      <c r="A111" s="3" t="s">
        <v>1</v>
      </c>
      <c r="B111" s="3" t="s">
        <v>135</v>
      </c>
    </row>
    <row r="112" spans="1:2">
      <c r="A112" s="4" t="s">
        <v>228</v>
      </c>
      <c r="B112" s="4" t="s">
        <v>229</v>
      </c>
    </row>
    <row r="113" spans="1:2">
      <c r="A113" s="4" t="s">
        <v>230</v>
      </c>
      <c r="B113" s="4" t="s">
        <v>231</v>
      </c>
    </row>
    <row r="114" spans="1:2">
      <c r="A114" s="4" t="s">
        <v>232</v>
      </c>
      <c r="B114" s="4" t="s">
        <v>233</v>
      </c>
    </row>
    <row r="115" spans="1:2">
      <c r="A115" s="4" t="s">
        <v>234</v>
      </c>
      <c r="B115" s="4" t="s">
        <v>235</v>
      </c>
    </row>
    <row r="116" spans="1:2">
      <c r="A116" s="4" t="s">
        <v>236</v>
      </c>
      <c r="B116" s="4" t="s">
        <v>133</v>
      </c>
    </row>
    <row r="117" spans="1:2">
      <c r="A117" s="4" t="s">
        <v>237</v>
      </c>
      <c r="B117" s="4" t="s">
        <v>238</v>
      </c>
    </row>
    <row r="118" spans="1:2">
      <c r="A118" s="4" t="s">
        <v>239</v>
      </c>
      <c r="B118" s="4" t="s">
        <v>240</v>
      </c>
    </row>
    <row r="119" spans="1:2">
      <c r="A119" s="4" t="s">
        <v>241</v>
      </c>
      <c r="B119" s="4" t="s">
        <v>242</v>
      </c>
    </row>
    <row r="120" spans="1:2">
      <c r="A120" s="4" t="s">
        <v>243</v>
      </c>
      <c r="B120" s="4" t="s">
        <v>244</v>
      </c>
    </row>
    <row r="121" spans="1:2">
      <c r="A121" s="4" t="s">
        <v>245</v>
      </c>
      <c r="B121" s="4" t="s">
        <v>246</v>
      </c>
    </row>
    <row r="122" spans="1:2">
      <c r="A122" s="4" t="s">
        <v>247</v>
      </c>
      <c r="B122" s="4" t="s">
        <v>248</v>
      </c>
    </row>
    <row r="124" spans="1:2" ht="21">
      <c r="A124" s="110" t="s">
        <v>249</v>
      </c>
      <c r="B124" s="110"/>
    </row>
    <row r="125" spans="1:2" ht="16.5">
      <c r="A125" s="3" t="s">
        <v>1</v>
      </c>
      <c r="B125" s="3" t="s">
        <v>135</v>
      </c>
    </row>
    <row r="126" spans="1:2">
      <c r="A126" s="4" t="s">
        <v>250</v>
      </c>
      <c r="B126" s="4" t="s">
        <v>251</v>
      </c>
    </row>
    <row r="127" spans="1:2">
      <c r="A127" s="4" t="s">
        <v>252</v>
      </c>
      <c r="B127" s="4" t="s">
        <v>253</v>
      </c>
    </row>
    <row r="128" spans="1:2">
      <c r="A128" s="4" t="s">
        <v>254</v>
      </c>
      <c r="B128" s="4" t="s">
        <v>145</v>
      </c>
    </row>
    <row r="129" spans="1:2">
      <c r="A129" s="4" t="s">
        <v>255</v>
      </c>
      <c r="B129" s="4" t="s">
        <v>196</v>
      </c>
    </row>
    <row r="130" spans="1:2">
      <c r="A130" s="4" t="s">
        <v>256</v>
      </c>
      <c r="B130" s="4" t="s">
        <v>198</v>
      </c>
    </row>
    <row r="131" spans="1:2">
      <c r="A131" s="4" t="s">
        <v>257</v>
      </c>
      <c r="B131" s="4" t="s">
        <v>164</v>
      </c>
    </row>
    <row r="132" spans="1:2">
      <c r="A132" s="4" t="s">
        <v>258</v>
      </c>
      <c r="B132" s="4" t="s">
        <v>166</v>
      </c>
    </row>
    <row r="133" spans="1:2">
      <c r="A133" s="4" t="s">
        <v>259</v>
      </c>
      <c r="B133" s="4" t="s">
        <v>204</v>
      </c>
    </row>
    <row r="134" spans="1:2">
      <c r="A134" s="4" t="s">
        <v>260</v>
      </c>
      <c r="B134" s="4" t="s">
        <v>206</v>
      </c>
    </row>
    <row r="135" spans="1:2">
      <c r="A135" s="4" t="s">
        <v>261</v>
      </c>
      <c r="B135" s="4" t="s">
        <v>220</v>
      </c>
    </row>
    <row r="136" spans="1:2">
      <c r="A136" s="4" t="s">
        <v>262</v>
      </c>
      <c r="B136" s="4" t="s">
        <v>263</v>
      </c>
    </row>
    <row r="137" spans="1:2">
      <c r="A137" s="4" t="s">
        <v>264</v>
      </c>
      <c r="B137" s="4" t="s">
        <v>265</v>
      </c>
    </row>
    <row r="138" spans="1:2">
      <c r="A138" s="4" t="s">
        <v>266</v>
      </c>
      <c r="B138" s="4" t="s">
        <v>267</v>
      </c>
    </row>
    <row r="139" spans="1:2">
      <c r="A139" s="4" t="s">
        <v>268</v>
      </c>
      <c r="B139" s="4" t="s">
        <v>269</v>
      </c>
    </row>
    <row r="141" spans="1:2" ht="21">
      <c r="A141" s="110" t="s">
        <v>270</v>
      </c>
      <c r="B141" s="110"/>
    </row>
    <row r="142" spans="1:2" ht="16.5">
      <c r="A142" s="3" t="s">
        <v>1</v>
      </c>
      <c r="B142" s="3" t="s">
        <v>135</v>
      </c>
    </row>
    <row r="143" spans="1:2">
      <c r="A143" s="4" t="s">
        <v>271</v>
      </c>
      <c r="B143" s="4" t="s">
        <v>54</v>
      </c>
    </row>
    <row r="144" spans="1:2">
      <c r="A144" s="4" t="s">
        <v>272</v>
      </c>
      <c r="B144" s="4" t="s">
        <v>76</v>
      </c>
    </row>
    <row r="145" spans="1:2">
      <c r="A145" s="4" t="s">
        <v>273</v>
      </c>
      <c r="B145" s="4" t="s">
        <v>49</v>
      </c>
    </row>
    <row r="146" spans="1:2">
      <c r="A146" s="4" t="s">
        <v>274</v>
      </c>
      <c r="B146" s="4" t="s">
        <v>52</v>
      </c>
    </row>
    <row r="147" spans="1:2">
      <c r="A147" s="4" t="s">
        <v>275</v>
      </c>
      <c r="B147" s="4" t="s">
        <v>276</v>
      </c>
    </row>
    <row r="148" spans="1:2">
      <c r="A148" s="4" t="s">
        <v>277</v>
      </c>
      <c r="B148" s="4" t="s">
        <v>278</v>
      </c>
    </row>
    <row r="149" spans="1:2">
      <c r="A149" s="4" t="s">
        <v>279</v>
      </c>
      <c r="B149" s="4" t="s">
        <v>280</v>
      </c>
    </row>
    <row r="150" spans="1:2">
      <c r="A150" s="4" t="s">
        <v>281</v>
      </c>
      <c r="B150" s="4" t="s">
        <v>282</v>
      </c>
    </row>
    <row r="151" spans="1:2">
      <c r="A151" s="4" t="s">
        <v>283</v>
      </c>
      <c r="B151" s="4" t="s">
        <v>284</v>
      </c>
    </row>
    <row r="152" spans="1:2">
      <c r="A152" s="4" t="s">
        <v>285</v>
      </c>
      <c r="B152" s="4" t="s">
        <v>286</v>
      </c>
    </row>
    <row r="153" spans="1:2">
      <c r="A153" s="4" t="s">
        <v>287</v>
      </c>
      <c r="B153" s="4" t="s">
        <v>288</v>
      </c>
    </row>
    <row r="154" spans="1:2">
      <c r="A154" s="4" t="s">
        <v>289</v>
      </c>
      <c r="B154" s="4" t="s">
        <v>290</v>
      </c>
    </row>
    <row r="155" spans="1:2">
      <c r="A155" s="4" t="s">
        <v>291</v>
      </c>
      <c r="B155" s="4" t="s">
        <v>125</v>
      </c>
    </row>
    <row r="156" spans="1:2">
      <c r="A156" s="4" t="s">
        <v>292</v>
      </c>
      <c r="B156" s="4" t="s">
        <v>293</v>
      </c>
    </row>
    <row r="158" spans="1:2" ht="21">
      <c r="A158" s="110" t="s">
        <v>294</v>
      </c>
      <c r="B158" s="110"/>
    </row>
    <row r="159" spans="1:2" ht="16.5">
      <c r="A159" s="3" t="s">
        <v>1</v>
      </c>
      <c r="B159" s="3" t="s">
        <v>135</v>
      </c>
    </row>
    <row r="160" spans="1:2">
      <c r="A160" s="4" t="s">
        <v>295</v>
      </c>
      <c r="B160" s="4" t="s">
        <v>296</v>
      </c>
    </row>
    <row r="161" spans="1:2">
      <c r="A161" s="4" t="s">
        <v>297</v>
      </c>
      <c r="B161" s="4" t="s">
        <v>298</v>
      </c>
    </row>
    <row r="162" spans="1:2">
      <c r="A162" s="4" t="s">
        <v>299</v>
      </c>
      <c r="B162" s="4" t="s">
        <v>300</v>
      </c>
    </row>
    <row r="163" spans="1:2">
      <c r="A163" s="4" t="s">
        <v>301</v>
      </c>
      <c r="B163" s="4" t="s">
        <v>302</v>
      </c>
    </row>
    <row r="164" spans="1:2">
      <c r="A164" s="4" t="s">
        <v>303</v>
      </c>
      <c r="B164" s="4" t="s">
        <v>304</v>
      </c>
    </row>
    <row r="165" spans="1:2">
      <c r="A165" s="4" t="s">
        <v>305</v>
      </c>
      <c r="B165" s="4" t="s">
        <v>306</v>
      </c>
    </row>
    <row r="166" spans="1:2">
      <c r="A166" s="4" t="s">
        <v>307</v>
      </c>
      <c r="B166" s="4" t="s">
        <v>308</v>
      </c>
    </row>
    <row r="167" spans="1:2">
      <c r="A167" s="4" t="s">
        <v>309</v>
      </c>
      <c r="B167" s="4" t="s">
        <v>310</v>
      </c>
    </row>
    <row r="168" spans="1:2">
      <c r="A168" s="4" t="s">
        <v>311</v>
      </c>
      <c r="B168" s="4" t="s">
        <v>312</v>
      </c>
    </row>
    <row r="169" spans="1:2">
      <c r="A169" s="4" t="s">
        <v>313</v>
      </c>
      <c r="B169" s="4" t="s">
        <v>314</v>
      </c>
    </row>
    <row r="170" spans="1:2">
      <c r="A170" s="4" t="s">
        <v>315</v>
      </c>
      <c r="B170" s="4" t="s">
        <v>316</v>
      </c>
    </row>
    <row r="171" spans="1:2">
      <c r="A171" s="4" t="s">
        <v>317</v>
      </c>
      <c r="B171" s="4" t="s">
        <v>318</v>
      </c>
    </row>
    <row r="172" spans="1:2">
      <c r="A172" s="4" t="s">
        <v>319</v>
      </c>
      <c r="B172" s="4" t="s">
        <v>320</v>
      </c>
    </row>
    <row r="173" spans="1:2" ht="16.5">
      <c r="A173" s="111" t="s">
        <v>321</v>
      </c>
      <c r="B173" s="112"/>
    </row>
    <row r="174" spans="1:2">
      <c r="A174" s="4" t="s">
        <v>322</v>
      </c>
      <c r="B174" s="4" t="s">
        <v>323</v>
      </c>
    </row>
    <row r="175" spans="1:2">
      <c r="A175" s="4" t="s">
        <v>324</v>
      </c>
      <c r="B175" s="4" t="s">
        <v>325</v>
      </c>
    </row>
    <row r="176" spans="1:2">
      <c r="A176" s="4" t="s">
        <v>326</v>
      </c>
      <c r="B176" s="4" t="s">
        <v>327</v>
      </c>
    </row>
    <row r="177" spans="1:2">
      <c r="A177" s="4" t="s">
        <v>328</v>
      </c>
      <c r="B177" s="4" t="s">
        <v>329</v>
      </c>
    </row>
    <row r="178" spans="1:2">
      <c r="A178" s="4" t="s">
        <v>330</v>
      </c>
      <c r="B178" s="4" t="s">
        <v>331</v>
      </c>
    </row>
    <row r="179" spans="1:2">
      <c r="A179" s="4" t="s">
        <v>332</v>
      </c>
      <c r="B179" s="4" t="s">
        <v>333</v>
      </c>
    </row>
    <row r="180" spans="1:2">
      <c r="A180" s="4" t="s">
        <v>334</v>
      </c>
      <c r="B180" s="4" t="s">
        <v>335</v>
      </c>
    </row>
    <row r="181" spans="1:2">
      <c r="A181" s="4" t="s">
        <v>336</v>
      </c>
      <c r="B181" s="4" t="s">
        <v>337</v>
      </c>
    </row>
    <row r="183" spans="1:2" ht="21">
      <c r="A183" s="106" t="s">
        <v>338</v>
      </c>
      <c r="B183" s="106"/>
    </row>
    <row r="184" spans="1:2" ht="16.5">
      <c r="A184" s="3" t="s">
        <v>1</v>
      </c>
      <c r="B184" s="3" t="s">
        <v>135</v>
      </c>
    </row>
    <row r="185" spans="1:2">
      <c r="A185" s="4" t="s">
        <v>339</v>
      </c>
      <c r="B185" s="4" t="s">
        <v>49</v>
      </c>
    </row>
    <row r="186" spans="1:2">
      <c r="A186" s="4" t="s">
        <v>340</v>
      </c>
      <c r="B186" s="4" t="s">
        <v>145</v>
      </c>
    </row>
    <row r="187" spans="1:2">
      <c r="A187" s="4" t="s">
        <v>341</v>
      </c>
      <c r="B187" s="4" t="s">
        <v>342</v>
      </c>
    </row>
    <row r="188" spans="1:2">
      <c r="A188" s="4" t="s">
        <v>343</v>
      </c>
      <c r="B188" s="4" t="s">
        <v>344</v>
      </c>
    </row>
    <row r="189" spans="1:2">
      <c r="A189" s="4" t="s">
        <v>345</v>
      </c>
      <c r="B189" s="4" t="s">
        <v>54</v>
      </c>
    </row>
    <row r="190" spans="1:2">
      <c r="A190" s="4" t="s">
        <v>346</v>
      </c>
      <c r="B190" s="4" t="s">
        <v>347</v>
      </c>
    </row>
    <row r="192" spans="1:2" ht="21">
      <c r="A192" s="106" t="s">
        <v>348</v>
      </c>
      <c r="B192" s="106"/>
    </row>
    <row r="193" spans="1:2" ht="16.5">
      <c r="A193" s="3" t="s">
        <v>1</v>
      </c>
      <c r="B193" s="3" t="s">
        <v>135</v>
      </c>
    </row>
    <row r="194" spans="1:2">
      <c r="A194" s="4" t="s">
        <v>349</v>
      </c>
      <c r="B194" s="4" t="s">
        <v>98</v>
      </c>
    </row>
    <row r="195" spans="1:2">
      <c r="A195" s="4" t="s">
        <v>350</v>
      </c>
      <c r="B195" s="4" t="s">
        <v>351</v>
      </c>
    </row>
    <row r="196" spans="1:2">
      <c r="A196" s="4" t="s">
        <v>352</v>
      </c>
      <c r="B196" s="4" t="s">
        <v>353</v>
      </c>
    </row>
    <row r="197" spans="1:2">
      <c r="A197" s="4" t="s">
        <v>354</v>
      </c>
      <c r="B197" s="4" t="s">
        <v>355</v>
      </c>
    </row>
    <row r="198" spans="1:2">
      <c r="A198" s="4" t="s">
        <v>356</v>
      </c>
      <c r="B198" s="4" t="s">
        <v>357</v>
      </c>
    </row>
    <row r="199" spans="1:2">
      <c r="A199" s="4" t="s">
        <v>358</v>
      </c>
      <c r="B199" s="4" t="s">
        <v>359</v>
      </c>
    </row>
    <row r="200" spans="1:2">
      <c r="A200" s="4" t="s">
        <v>360</v>
      </c>
      <c r="B200" s="4" t="s">
        <v>361</v>
      </c>
    </row>
    <row r="201" spans="1:2">
      <c r="A201" s="4" t="s">
        <v>362</v>
      </c>
      <c r="B201" s="4" t="s">
        <v>363</v>
      </c>
    </row>
    <row r="202" spans="1:2">
      <c r="A202" s="4" t="s">
        <v>364</v>
      </c>
      <c r="B202" s="4" t="s">
        <v>359</v>
      </c>
    </row>
    <row r="203" spans="1:2">
      <c r="A203" s="4" t="s">
        <v>365</v>
      </c>
      <c r="B203" s="4" t="s">
        <v>366</v>
      </c>
    </row>
    <row r="204" spans="1:2">
      <c r="A204" s="4" t="s">
        <v>367</v>
      </c>
      <c r="B204" s="4" t="s">
        <v>133</v>
      </c>
    </row>
    <row r="205" spans="1:2">
      <c r="A205" s="4" t="s">
        <v>368</v>
      </c>
      <c r="B205" s="4" t="s">
        <v>369</v>
      </c>
    </row>
    <row r="207" spans="1:2" ht="21">
      <c r="A207" s="106" t="s">
        <v>370</v>
      </c>
      <c r="B207" s="106"/>
    </row>
    <row r="208" spans="1:2" ht="16.5">
      <c r="A208" s="3" t="s">
        <v>1</v>
      </c>
      <c r="B208" s="3" t="s">
        <v>135</v>
      </c>
    </row>
    <row r="209" spans="1:2">
      <c r="A209" s="4" t="s">
        <v>371</v>
      </c>
      <c r="B209" s="4" t="s">
        <v>133</v>
      </c>
    </row>
    <row r="210" spans="1:2">
      <c r="A210" s="4" t="s">
        <v>372</v>
      </c>
      <c r="B210" s="4" t="s">
        <v>347</v>
      </c>
    </row>
    <row r="211" spans="1:2">
      <c r="A211" s="4" t="s">
        <v>373</v>
      </c>
      <c r="B211" s="4" t="s">
        <v>374</v>
      </c>
    </row>
    <row r="212" spans="1:2">
      <c r="A212" s="4" t="s">
        <v>375</v>
      </c>
      <c r="B212" s="4" t="s">
        <v>376</v>
      </c>
    </row>
    <row r="213" spans="1:2">
      <c r="A213" s="4" t="s">
        <v>377</v>
      </c>
      <c r="B213" s="4" t="s">
        <v>378</v>
      </c>
    </row>
    <row r="214" spans="1:2">
      <c r="A214" s="4" t="s">
        <v>379</v>
      </c>
      <c r="B214" s="4" t="s">
        <v>118</v>
      </c>
    </row>
    <row r="215" spans="1:2">
      <c r="A215" s="4" t="s">
        <v>380</v>
      </c>
      <c r="B215" s="4" t="s">
        <v>121</v>
      </c>
    </row>
    <row r="216" spans="1:2">
      <c r="A216" s="4" t="s">
        <v>381</v>
      </c>
      <c r="B216" s="4" t="s">
        <v>382</v>
      </c>
    </row>
    <row r="217" spans="1:2">
      <c r="A217" s="4" t="s">
        <v>383</v>
      </c>
      <c r="B217" s="4" t="s">
        <v>384</v>
      </c>
    </row>
    <row r="219" spans="1:2" ht="21">
      <c r="A219" s="110" t="s">
        <v>385</v>
      </c>
      <c r="B219" s="110"/>
    </row>
    <row r="220" spans="1:2" ht="16.5">
      <c r="A220" s="3" t="s">
        <v>1</v>
      </c>
      <c r="B220" s="3" t="s">
        <v>135</v>
      </c>
    </row>
    <row r="221" spans="1:2">
      <c r="A221" s="4" t="s">
        <v>386</v>
      </c>
      <c r="B221" s="4" t="s">
        <v>384</v>
      </c>
    </row>
    <row r="222" spans="1:2">
      <c r="A222" s="4" t="s">
        <v>387</v>
      </c>
      <c r="B222" s="4" t="s">
        <v>384</v>
      </c>
    </row>
    <row r="223" spans="1:2">
      <c r="A223" s="4" t="s">
        <v>388</v>
      </c>
      <c r="B223" s="4" t="s">
        <v>384</v>
      </c>
    </row>
    <row r="224" spans="1:2">
      <c r="A224" s="4" t="s">
        <v>389</v>
      </c>
      <c r="B224" s="4" t="s">
        <v>378</v>
      </c>
    </row>
    <row r="225" spans="1:2">
      <c r="A225" s="4" t="s">
        <v>390</v>
      </c>
      <c r="B225" s="4" t="s">
        <v>378</v>
      </c>
    </row>
    <row r="226" spans="1:2">
      <c r="A226" s="4" t="s">
        <v>391</v>
      </c>
      <c r="B226" s="4" t="s">
        <v>378</v>
      </c>
    </row>
    <row r="227" spans="1:2">
      <c r="A227" s="4" t="s">
        <v>392</v>
      </c>
      <c r="B227" s="4" t="s">
        <v>378</v>
      </c>
    </row>
    <row r="228" spans="1:2">
      <c r="A228" s="4" t="s">
        <v>393</v>
      </c>
      <c r="B228" s="4" t="s">
        <v>267</v>
      </c>
    </row>
    <row r="229" spans="1:2">
      <c r="A229" s="4" t="s">
        <v>394</v>
      </c>
      <c r="B229" s="4" t="s">
        <v>395</v>
      </c>
    </row>
    <row r="230" spans="1:2">
      <c r="A230" s="4" t="s">
        <v>396</v>
      </c>
      <c r="B230" s="4" t="s">
        <v>397</v>
      </c>
    </row>
    <row r="231" spans="1:2">
      <c r="A231" s="4" t="s">
        <v>398</v>
      </c>
      <c r="B231" s="4" t="s">
        <v>399</v>
      </c>
    </row>
    <row r="232" spans="1:2">
      <c r="A232" s="4" t="s">
        <v>400</v>
      </c>
      <c r="B232" s="4" t="s">
        <v>401</v>
      </c>
    </row>
    <row r="233" spans="1:2">
      <c r="A233" s="22" t="s">
        <v>402</v>
      </c>
      <c r="B233" s="22" t="s">
        <v>374</v>
      </c>
    </row>
    <row r="234" spans="1:2">
      <c r="A234" s="22" t="s">
        <v>403</v>
      </c>
      <c r="B234" s="22" t="s">
        <v>376</v>
      </c>
    </row>
    <row r="235" spans="1:2">
      <c r="A235" s="22" t="s">
        <v>404</v>
      </c>
      <c r="B235" s="22" t="s">
        <v>374</v>
      </c>
    </row>
    <row r="236" spans="1:2">
      <c r="A236" s="22" t="s">
        <v>405</v>
      </c>
      <c r="B236" s="22" t="s">
        <v>376</v>
      </c>
    </row>
    <row r="237" spans="1:2" ht="16.5">
      <c r="A237" s="24" t="s">
        <v>406</v>
      </c>
      <c r="B237" s="24" t="s">
        <v>407</v>
      </c>
    </row>
    <row r="239" spans="1:2" ht="21">
      <c r="A239" s="110" t="s">
        <v>408</v>
      </c>
      <c r="B239" s="110"/>
    </row>
    <row r="240" spans="1:2" ht="16.5">
      <c r="A240" s="3" t="s">
        <v>1</v>
      </c>
      <c r="B240" s="3" t="s">
        <v>135</v>
      </c>
    </row>
    <row r="241" spans="1:2">
      <c r="A241" s="4" t="s">
        <v>409</v>
      </c>
      <c r="B241" s="4" t="s">
        <v>410</v>
      </c>
    </row>
    <row r="242" spans="1:2">
      <c r="A242" s="4" t="s">
        <v>411</v>
      </c>
      <c r="B242" s="4" t="s">
        <v>412</v>
      </c>
    </row>
    <row r="243" spans="1:2">
      <c r="A243" s="4" t="s">
        <v>413</v>
      </c>
      <c r="B243" s="4" t="s">
        <v>414</v>
      </c>
    </row>
    <row r="244" spans="1:2">
      <c r="A244" s="4" t="s">
        <v>415</v>
      </c>
      <c r="B244" s="4" t="s">
        <v>416</v>
      </c>
    </row>
    <row r="245" spans="1:2">
      <c r="A245" s="4" t="s">
        <v>417</v>
      </c>
      <c r="B245" s="4" t="s">
        <v>418</v>
      </c>
    </row>
    <row r="246" spans="1:2">
      <c r="A246" s="4" t="s">
        <v>419</v>
      </c>
      <c r="B246" s="4" t="s">
        <v>420</v>
      </c>
    </row>
    <row r="247" spans="1:2">
      <c r="A247" s="4" t="s">
        <v>421</v>
      </c>
      <c r="B247" s="4" t="s">
        <v>422</v>
      </c>
    </row>
    <row r="248" spans="1:2">
      <c r="A248" s="4" t="s">
        <v>423</v>
      </c>
      <c r="B248" s="4" t="s">
        <v>424</v>
      </c>
    </row>
    <row r="249" spans="1:2">
      <c r="A249" s="4" t="s">
        <v>425</v>
      </c>
      <c r="B249" s="4" t="s">
        <v>426</v>
      </c>
    </row>
    <row r="250" spans="1:2">
      <c r="A250" s="4" t="s">
        <v>427</v>
      </c>
      <c r="B250" s="4" t="s">
        <v>428</v>
      </c>
    </row>
    <row r="251" spans="1:2">
      <c r="A251" s="4" t="s">
        <v>429</v>
      </c>
      <c r="B251" s="4" t="s">
        <v>430</v>
      </c>
    </row>
    <row r="252" spans="1:2">
      <c r="A252" s="4" t="s">
        <v>431</v>
      </c>
      <c r="B252" s="4" t="s">
        <v>432</v>
      </c>
    </row>
    <row r="254" spans="1:2" ht="21">
      <c r="A254" s="106" t="s">
        <v>433</v>
      </c>
      <c r="B254" s="106"/>
    </row>
    <row r="255" spans="1:2" ht="16.5">
      <c r="A255" s="3" t="s">
        <v>1</v>
      </c>
      <c r="B255" s="3" t="s">
        <v>135</v>
      </c>
    </row>
    <row r="256" spans="1:2">
      <c r="A256" s="4" t="s">
        <v>434</v>
      </c>
      <c r="B256" s="4" t="s">
        <v>435</v>
      </c>
    </row>
    <row r="257" spans="1:2">
      <c r="A257" s="4" t="s">
        <v>436</v>
      </c>
      <c r="B257" s="4" t="s">
        <v>437</v>
      </c>
    </row>
    <row r="258" spans="1:2">
      <c r="A258" s="4" t="s">
        <v>438</v>
      </c>
      <c r="B258" s="4" t="s">
        <v>439</v>
      </c>
    </row>
    <row r="259" spans="1:2">
      <c r="A259" s="4" t="s">
        <v>440</v>
      </c>
      <c r="B259" s="4" t="s">
        <v>441</v>
      </c>
    </row>
    <row r="260" spans="1:2">
      <c r="A260" s="4" t="s">
        <v>442</v>
      </c>
      <c r="B260" s="4" t="s">
        <v>282</v>
      </c>
    </row>
    <row r="261" spans="1:2">
      <c r="A261" s="4" t="s">
        <v>443</v>
      </c>
      <c r="B261" s="4" t="s">
        <v>47</v>
      </c>
    </row>
    <row r="262" spans="1:2">
      <c r="A262" s="4" t="s">
        <v>444</v>
      </c>
      <c r="B262" s="4" t="s">
        <v>445</v>
      </c>
    </row>
    <row r="263" spans="1:2">
      <c r="A263" s="4" t="s">
        <v>446</v>
      </c>
      <c r="B263" s="4" t="s">
        <v>447</v>
      </c>
    </row>
    <row r="264" spans="1:2">
      <c r="A264" s="4" t="s">
        <v>448</v>
      </c>
      <c r="B264" s="4" t="s">
        <v>449</v>
      </c>
    </row>
    <row r="265" spans="1:2">
      <c r="A265" s="4" t="s">
        <v>450</v>
      </c>
      <c r="B265" s="4" t="s">
        <v>451</v>
      </c>
    </row>
  </sheetData>
  <mergeCells count="22">
    <mergeCell ref="A207:B207"/>
    <mergeCell ref="A219:B219"/>
    <mergeCell ref="A239:B239"/>
    <mergeCell ref="A254:B254"/>
    <mergeCell ref="A124:B124"/>
    <mergeCell ref="A141:B141"/>
    <mergeCell ref="A158:B158"/>
    <mergeCell ref="A173:B173"/>
    <mergeCell ref="A183:B183"/>
    <mergeCell ref="A192:B192"/>
    <mergeCell ref="A110:B110"/>
    <mergeCell ref="A1:B1"/>
    <mergeCell ref="E2:I2"/>
    <mergeCell ref="K4:N4"/>
    <mergeCell ref="P4:S4"/>
    <mergeCell ref="A12:B12"/>
    <mergeCell ref="A21:B21"/>
    <mergeCell ref="A31:B31"/>
    <mergeCell ref="A52:B52"/>
    <mergeCell ref="A62:B62"/>
    <mergeCell ref="A81:B81"/>
    <mergeCell ref="A91:B91"/>
  </mergeCells>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0667-E897-46C6-B670-D5B75CCD1CE9}">
  <dimension ref="A1:S76"/>
  <sheetViews>
    <sheetView topLeftCell="A70" zoomScale="85" zoomScaleNormal="85" workbookViewId="0">
      <selection activeCell="F65" sqref="F65"/>
    </sheetView>
  </sheetViews>
  <sheetFormatPr defaultColWidth="10.81640625" defaultRowHeight="12.5"/>
  <cols>
    <col min="1" max="1" width="17.1796875" style="25" customWidth="1"/>
    <col min="2" max="2" width="15.1796875" style="25" bestFit="1" customWidth="1"/>
    <col min="3" max="3" width="10.81640625" style="25"/>
    <col min="4" max="4" width="21.7265625" style="25" customWidth="1"/>
    <col min="5" max="6" width="10.81640625" style="25"/>
    <col min="7" max="7" width="16.81640625" style="25" customWidth="1"/>
    <col min="8" max="8" width="10.81640625" style="25"/>
    <col min="9" max="9" width="16.26953125" style="25" customWidth="1"/>
    <col min="10" max="10" width="19.1796875" style="25" customWidth="1"/>
    <col min="11" max="11" width="14.7265625" style="25" bestFit="1" customWidth="1"/>
    <col min="12" max="12" width="14.7265625" style="25" customWidth="1"/>
    <col min="13" max="17" width="10.81640625" style="25"/>
    <col min="18" max="18" width="12.81640625" style="25" bestFit="1" customWidth="1"/>
    <col min="19" max="16384" width="10.81640625" style="25"/>
  </cols>
  <sheetData>
    <row r="1" spans="1:19" ht="13">
      <c r="A1" s="113" t="s">
        <v>452</v>
      </c>
      <c r="B1" s="114"/>
      <c r="D1" s="113" t="s">
        <v>453</v>
      </c>
      <c r="E1" s="116"/>
      <c r="F1" s="116"/>
      <c r="G1" s="114"/>
      <c r="I1" s="113" t="s">
        <v>454</v>
      </c>
      <c r="J1" s="114"/>
      <c r="L1" s="113" t="s">
        <v>455</v>
      </c>
      <c r="M1" s="114"/>
    </row>
    <row r="2" spans="1:19">
      <c r="A2" s="26"/>
      <c r="B2" s="26"/>
      <c r="D2" s="27"/>
      <c r="E2" s="26"/>
      <c r="F2" s="26"/>
      <c r="G2" s="28"/>
      <c r="I2" s="26"/>
      <c r="J2" s="26"/>
      <c r="L2" s="26"/>
      <c r="M2" s="26"/>
    </row>
    <row r="3" spans="1:19">
      <c r="A3" s="29" t="s">
        <v>456</v>
      </c>
      <c r="B3" s="29" t="s">
        <v>457</v>
      </c>
      <c r="D3" s="30" t="s">
        <v>458</v>
      </c>
      <c r="E3" s="29" t="s">
        <v>459</v>
      </c>
      <c r="F3" s="29" t="s">
        <v>460</v>
      </c>
      <c r="G3" s="31" t="s">
        <v>461</v>
      </c>
      <c r="I3" s="29" t="s">
        <v>456</v>
      </c>
      <c r="J3" s="29" t="s">
        <v>457</v>
      </c>
      <c r="L3" s="29" t="s">
        <v>456</v>
      </c>
      <c r="M3" s="29" t="s">
        <v>457</v>
      </c>
    </row>
    <row r="4" spans="1:19" ht="13">
      <c r="A4" s="26" t="s">
        <v>462</v>
      </c>
      <c r="B4" s="26">
        <v>85</v>
      </c>
      <c r="D4" s="27" t="s">
        <v>463</v>
      </c>
      <c r="E4" s="26">
        <v>150</v>
      </c>
      <c r="F4" s="26">
        <v>10</v>
      </c>
      <c r="G4" s="32"/>
      <c r="I4" s="26" t="s">
        <v>462</v>
      </c>
      <c r="J4" s="26">
        <v>85</v>
      </c>
      <c r="L4" s="26" t="s">
        <v>462</v>
      </c>
      <c r="M4" s="26">
        <v>85</v>
      </c>
    </row>
    <row r="5" spans="1:19" ht="13">
      <c r="A5" s="26" t="s">
        <v>464</v>
      </c>
      <c r="B5" s="26">
        <v>96</v>
      </c>
      <c r="D5" s="27" t="s">
        <v>465</v>
      </c>
      <c r="E5" s="26">
        <v>200</v>
      </c>
      <c r="F5" s="26">
        <v>15</v>
      </c>
      <c r="G5" s="32"/>
      <c r="I5" s="26" t="s">
        <v>464</v>
      </c>
      <c r="J5" s="26">
        <v>96</v>
      </c>
      <c r="L5" s="26" t="s">
        <v>464</v>
      </c>
      <c r="M5" s="26">
        <v>1</v>
      </c>
    </row>
    <row r="6" spans="1:19" ht="13">
      <c r="A6" s="26" t="s">
        <v>466</v>
      </c>
      <c r="B6" s="26">
        <v>78</v>
      </c>
      <c r="D6" s="27" t="s">
        <v>467</v>
      </c>
      <c r="E6" s="26">
        <v>250</v>
      </c>
      <c r="F6" s="26">
        <v>20</v>
      </c>
      <c r="G6" s="32"/>
      <c r="I6" s="26" t="s">
        <v>466</v>
      </c>
      <c r="J6" s="26">
        <v>78</v>
      </c>
      <c r="L6" s="26" t="s">
        <v>466</v>
      </c>
      <c r="M6" s="26">
        <v>8</v>
      </c>
    </row>
    <row r="7" spans="1:19" ht="13">
      <c r="A7" s="26" t="s">
        <v>468</v>
      </c>
      <c r="B7" s="26">
        <v>65</v>
      </c>
      <c r="D7" s="27" t="s">
        <v>469</v>
      </c>
      <c r="E7" s="26">
        <v>300</v>
      </c>
      <c r="F7" s="26">
        <v>25</v>
      </c>
      <c r="G7" s="32"/>
      <c r="I7" s="26" t="s">
        <v>468</v>
      </c>
      <c r="J7" s="26">
        <v>65</v>
      </c>
      <c r="L7" s="26" t="s">
        <v>468</v>
      </c>
      <c r="M7" s="26">
        <v>65</v>
      </c>
    </row>
    <row r="8" spans="1:19" ht="13.5" thickBot="1">
      <c r="A8" s="26" t="s">
        <v>470</v>
      </c>
      <c r="B8" s="26">
        <v>89</v>
      </c>
      <c r="D8" s="33" t="s">
        <v>471</v>
      </c>
      <c r="E8" s="34">
        <v>350</v>
      </c>
      <c r="F8" s="34">
        <v>30</v>
      </c>
      <c r="G8" s="32"/>
      <c r="I8" s="26" t="s">
        <v>470</v>
      </c>
      <c r="J8" s="26">
        <v>89</v>
      </c>
      <c r="L8" s="26" t="s">
        <v>470</v>
      </c>
      <c r="M8" s="26">
        <v>89</v>
      </c>
    </row>
    <row r="9" spans="1:19" ht="20">
      <c r="A9" s="35" t="s">
        <v>452</v>
      </c>
      <c r="B9" s="36">
        <f>SUM(B4:B8)</f>
        <v>413</v>
      </c>
      <c r="D9" s="35"/>
      <c r="E9" s="37"/>
      <c r="F9" s="35"/>
      <c r="G9" s="37"/>
      <c r="I9" s="35" t="s">
        <v>472</v>
      </c>
      <c r="J9" s="36"/>
      <c r="L9" s="35" t="s">
        <v>455</v>
      </c>
      <c r="M9" s="36"/>
    </row>
    <row r="12" spans="1:19" ht="13">
      <c r="A12" s="113" t="s">
        <v>473</v>
      </c>
      <c r="B12" s="114"/>
      <c r="C12" s="25" t="s">
        <v>474</v>
      </c>
      <c r="D12" s="113" t="s">
        <v>475</v>
      </c>
      <c r="E12" s="114"/>
      <c r="G12" s="113" t="s">
        <v>476</v>
      </c>
      <c r="H12" s="114"/>
      <c r="J12" s="113" t="s">
        <v>477</v>
      </c>
      <c r="K12" s="114"/>
    </row>
    <row r="13" spans="1:19">
      <c r="A13" s="27"/>
      <c r="B13" s="28"/>
      <c r="D13" s="26"/>
      <c r="E13" s="26"/>
      <c r="G13" s="27"/>
      <c r="H13" s="28"/>
      <c r="J13" s="27"/>
      <c r="K13" s="28"/>
      <c r="R13" s="38" t="s">
        <v>478</v>
      </c>
      <c r="S13" s="38" t="s">
        <v>479</v>
      </c>
    </row>
    <row r="14" spans="1:19">
      <c r="A14" s="30" t="s">
        <v>456</v>
      </c>
      <c r="B14" s="31" t="s">
        <v>457</v>
      </c>
      <c r="D14" s="29" t="s">
        <v>456</v>
      </c>
      <c r="E14" s="29" t="s">
        <v>457</v>
      </c>
      <c r="G14" s="30" t="s">
        <v>456</v>
      </c>
      <c r="H14" s="31" t="s">
        <v>457</v>
      </c>
      <c r="J14" s="30" t="s">
        <v>456</v>
      </c>
      <c r="K14" s="31" t="s">
        <v>457</v>
      </c>
      <c r="R14" s="26" t="s">
        <v>55</v>
      </c>
      <c r="S14" s="26">
        <v>55</v>
      </c>
    </row>
    <row r="15" spans="1:19">
      <c r="A15" s="27" t="s">
        <v>462</v>
      </c>
      <c r="B15" s="28">
        <v>85</v>
      </c>
      <c r="D15" s="26" t="s">
        <v>462</v>
      </c>
      <c r="E15" s="26">
        <v>85</v>
      </c>
      <c r="G15" s="27" t="s">
        <v>462</v>
      </c>
      <c r="H15" s="28">
        <v>85</v>
      </c>
      <c r="J15" s="27" t="s">
        <v>462</v>
      </c>
      <c r="K15" s="28">
        <v>85</v>
      </c>
      <c r="R15" s="26" t="s">
        <v>58</v>
      </c>
      <c r="S15" s="26">
        <v>26</v>
      </c>
    </row>
    <row r="16" spans="1:19">
      <c r="A16" s="27" t="s">
        <v>464</v>
      </c>
      <c r="B16" s="28">
        <v>96</v>
      </c>
      <c r="D16" s="26" t="s">
        <v>464</v>
      </c>
      <c r="E16" s="26">
        <v>96</v>
      </c>
      <c r="G16" s="27" t="s">
        <v>464</v>
      </c>
      <c r="H16" s="28" t="s">
        <v>55</v>
      </c>
      <c r="J16" s="27" t="s">
        <v>464</v>
      </c>
      <c r="K16" s="28"/>
      <c r="R16" s="26" t="s">
        <v>480</v>
      </c>
      <c r="S16" s="26">
        <v>45</v>
      </c>
    </row>
    <row r="17" spans="1:19">
      <c r="A17" s="27" t="s">
        <v>466</v>
      </c>
      <c r="B17" s="28">
        <v>78</v>
      </c>
      <c r="D17" s="26" t="s">
        <v>466</v>
      </c>
      <c r="E17" s="26">
        <v>78</v>
      </c>
      <c r="G17" s="27" t="s">
        <v>466</v>
      </c>
      <c r="H17" s="28" t="s">
        <v>58</v>
      </c>
      <c r="J17" s="27" t="s">
        <v>466</v>
      </c>
      <c r="K17" s="28">
        <v>2</v>
      </c>
      <c r="R17" s="26" t="s">
        <v>481</v>
      </c>
      <c r="S17" s="26">
        <v>66</v>
      </c>
    </row>
    <row r="18" spans="1:19">
      <c r="A18" s="27" t="s">
        <v>468</v>
      </c>
      <c r="B18" s="28">
        <v>65</v>
      </c>
      <c r="D18" s="26" t="s">
        <v>468</v>
      </c>
      <c r="E18" s="26">
        <v>22</v>
      </c>
      <c r="G18" s="27" t="s">
        <v>468</v>
      </c>
      <c r="H18" s="28" t="s">
        <v>60</v>
      </c>
      <c r="J18" s="27" t="s">
        <v>468</v>
      </c>
      <c r="K18" s="28">
        <v>3</v>
      </c>
    </row>
    <row r="19" spans="1:19">
      <c r="A19" s="27" t="s">
        <v>470</v>
      </c>
      <c r="B19" s="28">
        <v>89</v>
      </c>
      <c r="D19" s="26" t="s">
        <v>470</v>
      </c>
      <c r="E19" s="26">
        <v>89</v>
      </c>
      <c r="G19" s="27" t="s">
        <v>470</v>
      </c>
      <c r="H19" s="28" t="s">
        <v>62</v>
      </c>
      <c r="J19" s="27" t="s">
        <v>470</v>
      </c>
      <c r="K19" s="28">
        <v>4</v>
      </c>
    </row>
    <row r="20" spans="1:19" ht="20">
      <c r="A20" s="35" t="s">
        <v>473</v>
      </c>
      <c r="B20" s="36"/>
      <c r="D20" s="35" t="s">
        <v>475</v>
      </c>
      <c r="E20" s="36"/>
      <c r="F20" s="25" t="s">
        <v>482</v>
      </c>
      <c r="G20" s="35" t="s">
        <v>476</v>
      </c>
      <c r="H20" s="36">
        <f>COUNTA(H15:H19)</f>
        <v>5</v>
      </c>
      <c r="J20" s="35" t="s">
        <v>477</v>
      </c>
      <c r="K20" s="36"/>
    </row>
    <row r="21" spans="1:19" ht="20">
      <c r="G21" s="35" t="s">
        <v>475</v>
      </c>
      <c r="H21" s="36"/>
      <c r="J21" s="35" t="s">
        <v>475</v>
      </c>
      <c r="K21" s="36"/>
    </row>
    <row r="22" spans="1:19" ht="16.5">
      <c r="D22" s="13"/>
    </row>
    <row r="23" spans="1:19" ht="63">
      <c r="A23" s="115" t="s">
        <v>483</v>
      </c>
      <c r="B23" s="115"/>
      <c r="D23" s="115" t="s">
        <v>484</v>
      </c>
      <c r="E23" s="115"/>
      <c r="G23" s="115" t="s">
        <v>485</v>
      </c>
      <c r="H23" s="115"/>
      <c r="J23" s="39" t="s">
        <v>528</v>
      </c>
      <c r="K23" s="39" t="s">
        <v>486</v>
      </c>
    </row>
    <row r="24" spans="1:19" ht="16.5">
      <c r="A24" s="27"/>
      <c r="B24" s="28"/>
      <c r="D24" s="27"/>
      <c r="E24" s="28"/>
      <c r="G24" s="40" t="s">
        <v>487</v>
      </c>
      <c r="H24" s="40" t="s">
        <v>488</v>
      </c>
    </row>
    <row r="25" spans="1:19" ht="16.5">
      <c r="A25" s="41" t="s">
        <v>456</v>
      </c>
      <c r="B25" s="42" t="s">
        <v>489</v>
      </c>
      <c r="D25" s="41" t="s">
        <v>456</v>
      </c>
      <c r="E25" s="42" t="s">
        <v>457</v>
      </c>
      <c r="G25" s="43" t="s">
        <v>490</v>
      </c>
      <c r="H25" s="43">
        <v>25000</v>
      </c>
    </row>
    <row r="26" spans="1:19" ht="16.5">
      <c r="A26" s="27" t="s">
        <v>462</v>
      </c>
      <c r="B26" s="28" t="s">
        <v>66</v>
      </c>
      <c r="D26" s="27" t="s">
        <v>462</v>
      </c>
      <c r="E26" s="28">
        <v>55</v>
      </c>
      <c r="G26" s="43" t="s">
        <v>491</v>
      </c>
      <c r="H26" s="43">
        <v>40000</v>
      </c>
      <c r="I26" s="13"/>
    </row>
    <row r="27" spans="1:19" ht="16.5">
      <c r="A27" s="27" t="s">
        <v>464</v>
      </c>
      <c r="B27" s="28" t="s">
        <v>66</v>
      </c>
      <c r="D27" s="27" t="s">
        <v>464</v>
      </c>
      <c r="E27" s="28">
        <v>60</v>
      </c>
      <c r="G27" s="43" t="s">
        <v>491</v>
      </c>
      <c r="H27" s="43">
        <v>55000</v>
      </c>
      <c r="I27" s="13"/>
    </row>
    <row r="28" spans="1:19" ht="16.5">
      <c r="A28" s="27" t="s">
        <v>466</v>
      </c>
      <c r="B28" s="28" t="s">
        <v>82</v>
      </c>
      <c r="D28" s="27" t="s">
        <v>466</v>
      </c>
      <c r="E28" s="28">
        <v>30</v>
      </c>
      <c r="G28" s="44" t="s">
        <v>490</v>
      </c>
      <c r="H28" s="43">
        <v>60000</v>
      </c>
      <c r="I28" s="13"/>
    </row>
    <row r="29" spans="1:19" ht="16.5">
      <c r="A29" s="27" t="s">
        <v>468</v>
      </c>
      <c r="B29" s="28" t="s">
        <v>66</v>
      </c>
      <c r="D29" s="27" t="s">
        <v>468</v>
      </c>
      <c r="E29" s="28">
        <v>90</v>
      </c>
      <c r="G29" s="43" t="s">
        <v>491</v>
      </c>
      <c r="H29" s="43">
        <v>30000</v>
      </c>
      <c r="I29" s="13"/>
    </row>
    <row r="30" spans="1:19" ht="16.5">
      <c r="A30" s="27" t="s">
        <v>470</v>
      </c>
      <c r="B30" s="28" t="s">
        <v>82</v>
      </c>
      <c r="D30" s="27" t="s">
        <v>470</v>
      </c>
      <c r="E30" s="28">
        <v>44</v>
      </c>
      <c r="G30" s="45" t="s">
        <v>492</v>
      </c>
      <c r="H30" s="43"/>
      <c r="I30" s="52" t="s">
        <v>529</v>
      </c>
    </row>
    <row r="31" spans="1:19" ht="20.5">
      <c r="A31" s="35" t="s">
        <v>493</v>
      </c>
      <c r="D31" s="35" t="s">
        <v>494</v>
      </c>
      <c r="E31" s="36">
        <f>COUNTIF(E26:E30,"&gt;50")</f>
        <v>3</v>
      </c>
      <c r="G31" s="46" t="s">
        <v>495</v>
      </c>
      <c r="H31" s="47"/>
      <c r="I31" s="13" t="s">
        <v>530</v>
      </c>
    </row>
    <row r="32" spans="1:19" ht="20.5">
      <c r="A32" s="35" t="s">
        <v>496</v>
      </c>
      <c r="D32" s="35" t="s">
        <v>497</v>
      </c>
      <c r="E32" s="36"/>
      <c r="G32" s="48"/>
      <c r="H32" s="47"/>
      <c r="I32" s="13"/>
    </row>
    <row r="33" spans="1:4" ht="20.5">
      <c r="A33" s="47" t="s">
        <v>561</v>
      </c>
      <c r="D33" s="13"/>
    </row>
    <row r="34" spans="1:4" ht="20.5">
      <c r="A34" s="47" t="s">
        <v>562</v>
      </c>
      <c r="D34" s="13"/>
    </row>
    <row r="37" spans="1:4">
      <c r="D37" s="49"/>
    </row>
    <row r="38" spans="1:4">
      <c r="D38" s="49"/>
    </row>
    <row r="39" spans="1:4" ht="35">
      <c r="A39" s="50" t="s">
        <v>498</v>
      </c>
      <c r="B39" s="13"/>
      <c r="D39" s="49"/>
    </row>
    <row r="40" spans="1:4" ht="16.5">
      <c r="A40" s="51" t="s">
        <v>499</v>
      </c>
      <c r="B40" s="51" t="s">
        <v>500</v>
      </c>
      <c r="D40" s="52" t="s">
        <v>501</v>
      </c>
    </row>
    <row r="41" spans="1:4" ht="16.5">
      <c r="A41" s="44" t="s">
        <v>502</v>
      </c>
      <c r="B41" s="44">
        <v>85</v>
      </c>
      <c r="C41" s="25" t="str">
        <f>IF(B41&gt;40, "PASS", "FAIL")</f>
        <v>PASS</v>
      </c>
      <c r="D41" s="49"/>
    </row>
    <row r="42" spans="1:4" ht="16.5">
      <c r="A42" s="44" t="s">
        <v>503</v>
      </c>
      <c r="B42" s="44">
        <v>35</v>
      </c>
      <c r="D42" s="49"/>
    </row>
    <row r="43" spans="1:4" ht="16.5">
      <c r="A43" s="44" t="s">
        <v>504</v>
      </c>
      <c r="B43" s="44">
        <v>65</v>
      </c>
      <c r="D43" s="49"/>
    </row>
    <row r="44" spans="1:4" ht="16.5">
      <c r="A44" s="44" t="s">
        <v>505</v>
      </c>
      <c r="B44" s="44">
        <v>40</v>
      </c>
      <c r="D44" s="49"/>
    </row>
    <row r="45" spans="1:4" ht="16.5">
      <c r="A45" s="44" t="s">
        <v>506</v>
      </c>
      <c r="B45" s="44">
        <v>25</v>
      </c>
      <c r="D45" s="49"/>
    </row>
    <row r="46" spans="1:4" ht="16.5">
      <c r="A46" s="44" t="s">
        <v>507</v>
      </c>
      <c r="B46" s="44">
        <v>90</v>
      </c>
    </row>
    <row r="49" spans="1:7" ht="35">
      <c r="A49" s="53" t="s">
        <v>508</v>
      </c>
      <c r="B49" s="13"/>
      <c r="D49" s="13" t="s">
        <v>509</v>
      </c>
    </row>
    <row r="50" spans="1:7" ht="16.5">
      <c r="A50" s="40" t="s">
        <v>499</v>
      </c>
      <c r="B50" s="40" t="s">
        <v>500</v>
      </c>
      <c r="C50" s="25" t="s">
        <v>510</v>
      </c>
      <c r="D50" s="54"/>
    </row>
    <row r="51" spans="1:7" ht="16.5">
      <c r="A51" s="43" t="s">
        <v>502</v>
      </c>
      <c r="B51" s="43">
        <v>95</v>
      </c>
      <c r="D51" s="54" t="s">
        <v>511</v>
      </c>
      <c r="F51" s="25" t="s">
        <v>563</v>
      </c>
    </row>
    <row r="52" spans="1:7" ht="16.5">
      <c r="A52" s="43" t="s">
        <v>503</v>
      </c>
      <c r="B52" s="43">
        <v>82</v>
      </c>
      <c r="D52" s="54" t="s">
        <v>512</v>
      </c>
      <c r="F52" s="25" t="s">
        <v>564</v>
      </c>
    </row>
    <row r="53" spans="1:7" ht="16.5">
      <c r="A53" s="43" t="s">
        <v>504</v>
      </c>
      <c r="B53" s="43">
        <v>76</v>
      </c>
      <c r="D53" s="54" t="s">
        <v>513</v>
      </c>
      <c r="F53" s="25" t="s">
        <v>565</v>
      </c>
    </row>
    <row r="54" spans="1:7" ht="16.5">
      <c r="A54" s="43" t="s">
        <v>505</v>
      </c>
      <c r="B54" s="43">
        <v>68</v>
      </c>
      <c r="D54" s="54" t="s">
        <v>514</v>
      </c>
      <c r="F54" s="25" t="s">
        <v>566</v>
      </c>
    </row>
    <row r="55" spans="1:7" ht="16.5">
      <c r="A55" s="43" t="s">
        <v>506</v>
      </c>
      <c r="B55" s="43">
        <v>55</v>
      </c>
      <c r="D55" s="54" t="s">
        <v>515</v>
      </c>
      <c r="F55" s="25" t="s">
        <v>567</v>
      </c>
    </row>
    <row r="56" spans="1:7" ht="16.5">
      <c r="A56" s="43" t="s">
        <v>507</v>
      </c>
      <c r="B56" s="43">
        <v>91</v>
      </c>
      <c r="F56" s="25" t="s">
        <v>568</v>
      </c>
    </row>
    <row r="57" spans="1:7">
      <c r="F57" s="25" t="s">
        <v>569</v>
      </c>
    </row>
    <row r="59" spans="1:7" ht="16.5">
      <c r="A59" s="13" t="s">
        <v>516</v>
      </c>
    </row>
    <row r="61" spans="1:7" ht="77">
      <c r="A61" s="53" t="s">
        <v>517</v>
      </c>
      <c r="B61" s="13"/>
      <c r="G61" s="39" t="s">
        <v>518</v>
      </c>
    </row>
    <row r="62" spans="1:7" ht="16.5">
      <c r="A62" s="40" t="s">
        <v>519</v>
      </c>
      <c r="B62" s="40" t="s">
        <v>520</v>
      </c>
      <c r="C62" s="25" t="s">
        <v>570</v>
      </c>
    </row>
    <row r="63" spans="1:7" ht="16.5">
      <c r="A63" s="43" t="s">
        <v>504</v>
      </c>
      <c r="B63" s="43">
        <v>45000</v>
      </c>
    </row>
    <row r="64" spans="1:7" ht="16.5">
      <c r="A64" s="43" t="s">
        <v>505</v>
      </c>
      <c r="B64" s="43">
        <v>65000</v>
      </c>
    </row>
    <row r="65" spans="1:9" ht="16.5">
      <c r="A65" s="43" t="s">
        <v>521</v>
      </c>
      <c r="B65" s="43">
        <v>90000</v>
      </c>
    </row>
    <row r="66" spans="1:9" ht="16.5">
      <c r="A66" s="43" t="s">
        <v>522</v>
      </c>
      <c r="B66" s="43">
        <v>30000</v>
      </c>
    </row>
    <row r="67" spans="1:9" ht="16.5">
      <c r="A67" s="43" t="s">
        <v>523</v>
      </c>
      <c r="B67" s="43">
        <v>75000</v>
      </c>
    </row>
    <row r="70" spans="1:9" ht="102">
      <c r="A70" s="53" t="s">
        <v>524</v>
      </c>
      <c r="B70" s="13"/>
      <c r="I70" s="39" t="s">
        <v>525</v>
      </c>
    </row>
    <row r="71" spans="1:9" ht="16.5">
      <c r="A71" s="40" t="s">
        <v>519</v>
      </c>
      <c r="B71" s="40" t="s">
        <v>526</v>
      </c>
      <c r="C71" s="25" t="s">
        <v>527</v>
      </c>
    </row>
    <row r="72" spans="1:9" ht="16.5">
      <c r="A72" s="43" t="s">
        <v>504</v>
      </c>
      <c r="B72" s="43">
        <v>98</v>
      </c>
    </row>
    <row r="73" spans="1:9" ht="16.5">
      <c r="A73" s="43" t="s">
        <v>505</v>
      </c>
      <c r="B73" s="43">
        <v>84</v>
      </c>
    </row>
    <row r="74" spans="1:9" ht="16.5">
      <c r="A74" s="43" t="s">
        <v>521</v>
      </c>
      <c r="B74" s="43">
        <v>76</v>
      </c>
    </row>
    <row r="75" spans="1:9" ht="16.5">
      <c r="A75" s="43" t="s">
        <v>522</v>
      </c>
      <c r="B75" s="43">
        <v>68</v>
      </c>
    </row>
    <row r="76" spans="1:9" ht="16.5">
      <c r="A76" s="43" t="s">
        <v>523</v>
      </c>
      <c r="B76" s="43">
        <v>50</v>
      </c>
    </row>
  </sheetData>
  <mergeCells count="11">
    <mergeCell ref="A23:B23"/>
    <mergeCell ref="D23:E23"/>
    <mergeCell ref="G23:H23"/>
    <mergeCell ref="A1:B1"/>
    <mergeCell ref="D1:G1"/>
    <mergeCell ref="I1:J1"/>
    <mergeCell ref="L1:M1"/>
    <mergeCell ref="A12:B12"/>
    <mergeCell ref="D12:E12"/>
    <mergeCell ref="G12:H12"/>
    <mergeCell ref="J12:K1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4271B-C9EC-400A-895B-E289E702D95D}">
  <dimension ref="D3:J31"/>
  <sheetViews>
    <sheetView showGridLines="0" topLeftCell="A10" zoomScale="70" zoomScaleNormal="70" workbookViewId="0">
      <selection activeCell="I14" sqref="I14"/>
    </sheetView>
  </sheetViews>
  <sheetFormatPr defaultRowHeight="14.5"/>
  <cols>
    <col min="4" max="4" width="24.26953125" customWidth="1"/>
    <col min="5" max="5" width="16.81640625" customWidth="1"/>
    <col min="6" max="6" width="15.1796875" customWidth="1"/>
    <col min="7" max="7" width="13.7265625" customWidth="1"/>
  </cols>
  <sheetData>
    <row r="3" spans="4:10" ht="28.5">
      <c r="D3" s="55" t="s">
        <v>554</v>
      </c>
    </row>
    <row r="5" spans="4:10" ht="21">
      <c r="D5" s="61" t="s">
        <v>531</v>
      </c>
      <c r="E5" s="61" t="s">
        <v>532</v>
      </c>
      <c r="F5" s="61" t="s">
        <v>543</v>
      </c>
      <c r="G5" s="57"/>
      <c r="H5" s="57"/>
      <c r="I5" s="57"/>
    </row>
    <row r="6" spans="4:10" ht="21">
      <c r="D6" s="61" t="s">
        <v>544</v>
      </c>
      <c r="E6" s="61" t="s">
        <v>534</v>
      </c>
      <c r="F6" s="61">
        <v>318</v>
      </c>
      <c r="G6" s="57"/>
      <c r="H6" s="61" t="s">
        <v>545</v>
      </c>
      <c r="I6" s="61" t="s">
        <v>546</v>
      </c>
      <c r="J6" s="56"/>
    </row>
    <row r="7" spans="4:10" ht="21">
      <c r="D7" s="61" t="s">
        <v>547</v>
      </c>
      <c r="E7" s="61" t="s">
        <v>534</v>
      </c>
      <c r="F7" s="61">
        <v>405</v>
      </c>
      <c r="G7" s="57"/>
      <c r="H7" s="61" t="s">
        <v>534</v>
      </c>
      <c r="I7" s="61">
        <f>SUMIF(E6:E14, H7,F6:F14)</f>
        <v>1248</v>
      </c>
      <c r="J7" s="56"/>
    </row>
    <row r="8" spans="4:10" ht="21">
      <c r="D8" s="61" t="s">
        <v>548</v>
      </c>
      <c r="E8" s="61" t="s">
        <v>534</v>
      </c>
      <c r="F8" s="61">
        <v>525</v>
      </c>
      <c r="G8" s="57"/>
      <c r="H8" s="61" t="s">
        <v>535</v>
      </c>
      <c r="I8" s="61"/>
      <c r="J8" s="56"/>
    </row>
    <row r="9" spans="4:10" ht="21">
      <c r="D9" s="61" t="s">
        <v>549</v>
      </c>
      <c r="E9" s="61" t="s">
        <v>535</v>
      </c>
      <c r="F9" s="61">
        <v>309</v>
      </c>
      <c r="G9" s="57"/>
      <c r="H9" s="61" t="s">
        <v>533</v>
      </c>
      <c r="I9" s="61"/>
      <c r="J9" s="56"/>
    </row>
    <row r="10" spans="4:10" ht="21">
      <c r="D10" s="61" t="s">
        <v>536</v>
      </c>
      <c r="E10" s="61" t="s">
        <v>535</v>
      </c>
      <c r="F10" s="61">
        <v>405</v>
      </c>
      <c r="G10" s="57"/>
      <c r="H10" s="57"/>
      <c r="I10" s="57"/>
    </row>
    <row r="11" spans="4:10" ht="21">
      <c r="D11" s="61" t="s">
        <v>550</v>
      </c>
      <c r="E11" s="61" t="s">
        <v>535</v>
      </c>
      <c r="F11" s="61">
        <v>534</v>
      </c>
      <c r="G11" s="57"/>
      <c r="H11" s="57"/>
      <c r="I11" s="57"/>
    </row>
    <row r="12" spans="4:10" ht="21">
      <c r="D12" s="61" t="s">
        <v>551</v>
      </c>
      <c r="E12" s="61" t="s">
        <v>533</v>
      </c>
      <c r="F12" s="61">
        <v>314</v>
      </c>
      <c r="G12" s="57"/>
      <c r="H12" s="57"/>
      <c r="I12" s="57"/>
    </row>
    <row r="13" spans="4:10" ht="21">
      <c r="D13" s="61" t="s">
        <v>552</v>
      </c>
      <c r="E13" s="61" t="s">
        <v>533</v>
      </c>
      <c r="F13" s="61">
        <v>405</v>
      </c>
      <c r="G13" s="57"/>
      <c r="H13" s="57"/>
      <c r="I13" s="57"/>
    </row>
    <row r="14" spans="4:10" ht="21">
      <c r="D14" s="61" t="s">
        <v>553</v>
      </c>
      <c r="E14" s="61" t="s">
        <v>533</v>
      </c>
      <c r="F14" s="61">
        <v>530</v>
      </c>
      <c r="G14" s="57"/>
      <c r="H14" s="57"/>
      <c r="I14" s="57"/>
    </row>
    <row r="15" spans="4:10">
      <c r="D15" t="s">
        <v>537</v>
      </c>
    </row>
    <row r="20" spans="4:10" ht="28.5">
      <c r="D20" s="55" t="s">
        <v>555</v>
      </c>
      <c r="J20" t="s">
        <v>559</v>
      </c>
    </row>
    <row r="21" spans="4:10">
      <c r="J21" t="s">
        <v>560</v>
      </c>
    </row>
    <row r="23" spans="4:10" ht="21">
      <c r="D23" s="64" t="s">
        <v>519</v>
      </c>
      <c r="E23" s="64" t="s">
        <v>542</v>
      </c>
      <c r="F23" s="64" t="s">
        <v>538</v>
      </c>
      <c r="G23" s="63" t="s">
        <v>556</v>
      </c>
      <c r="I23" s="57" t="s">
        <v>557</v>
      </c>
    </row>
    <row r="24" spans="4:10" ht="21">
      <c r="D24" s="62" t="s">
        <v>502</v>
      </c>
      <c r="E24" s="62" t="s">
        <v>491</v>
      </c>
      <c r="F24" s="62" t="s">
        <v>539</v>
      </c>
      <c r="G24" s="63">
        <v>35000</v>
      </c>
      <c r="I24" s="57" t="s">
        <v>558</v>
      </c>
    </row>
    <row r="25" spans="4:10" ht="21">
      <c r="D25" s="62" t="s">
        <v>507</v>
      </c>
      <c r="E25" s="62" t="s">
        <v>490</v>
      </c>
      <c r="F25" s="62" t="s">
        <v>539</v>
      </c>
      <c r="G25" s="63">
        <v>28000</v>
      </c>
    </row>
    <row r="26" spans="4:10" ht="21">
      <c r="D26" s="62" t="s">
        <v>504</v>
      </c>
      <c r="E26" s="62" t="s">
        <v>491</v>
      </c>
      <c r="F26" s="62" t="s">
        <v>540</v>
      </c>
      <c r="G26" s="63">
        <v>40000</v>
      </c>
    </row>
    <row r="27" spans="4:10" ht="21">
      <c r="D27" s="62" t="s">
        <v>503</v>
      </c>
      <c r="E27" s="62" t="s">
        <v>490</v>
      </c>
      <c r="F27" s="62" t="s">
        <v>539</v>
      </c>
      <c r="G27" s="63">
        <v>30000</v>
      </c>
    </row>
    <row r="28" spans="4:10" ht="21">
      <c r="D28" s="62" t="s">
        <v>541</v>
      </c>
      <c r="E28" s="62" t="s">
        <v>520</v>
      </c>
      <c r="F28" s="62" t="s">
        <v>539</v>
      </c>
      <c r="G28" s="63">
        <v>25000</v>
      </c>
    </row>
    <row r="29" spans="4:10" ht="21">
      <c r="D29" s="62" t="s">
        <v>522</v>
      </c>
      <c r="E29" s="62" t="s">
        <v>491</v>
      </c>
      <c r="F29" s="62" t="s">
        <v>539</v>
      </c>
      <c r="G29" s="63">
        <v>42000</v>
      </c>
    </row>
    <row r="30" spans="4:10" ht="21">
      <c r="D30" s="62" t="s">
        <v>523</v>
      </c>
      <c r="E30" s="62" t="s">
        <v>520</v>
      </c>
      <c r="F30" s="62" t="s">
        <v>540</v>
      </c>
      <c r="G30" s="63">
        <v>27000</v>
      </c>
    </row>
    <row r="31" spans="4:10" ht="21">
      <c r="D31" s="62" t="s">
        <v>505</v>
      </c>
      <c r="E31" s="62" t="s">
        <v>490</v>
      </c>
      <c r="F31" s="62" t="s">
        <v>539</v>
      </c>
      <c r="G31" s="63">
        <v>32000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Index</vt:lpstr>
      <vt:lpstr>Data Analysis_</vt:lpstr>
      <vt:lpstr>Data Analysis</vt:lpstr>
      <vt:lpstr>What Excel Does</vt:lpstr>
      <vt:lpstr>Excel file Formats</vt:lpstr>
      <vt:lpstr>Data &amp; Alignmnet (an)</vt:lpstr>
      <vt:lpstr>Keyboards</vt:lpstr>
      <vt:lpstr>Shortcuts</vt:lpstr>
      <vt:lpstr>Functions</vt:lpstr>
      <vt:lpstr>SUMIF-SUMIFS-FUNCTION</vt:lpstr>
      <vt:lpstr>SUM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Aachal</cp:lastModifiedBy>
  <dcterms:created xsi:type="dcterms:W3CDTF">2026-07-06T16:16:18Z</dcterms:created>
  <dcterms:modified xsi:type="dcterms:W3CDTF">2026-10-25T05:54:49Z</dcterms:modified>
</cp:coreProperties>
</file>